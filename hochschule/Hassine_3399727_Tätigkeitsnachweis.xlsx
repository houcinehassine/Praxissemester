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nleitung" sheetId="1" state="visible" r:id="rId3"/>
    <sheet name="Stammdaten" sheetId="2" state="visible" r:id="rId4"/>
    <sheet name="Tätigkeitsnachweis" sheetId="3" state="visible" r:id="rId5"/>
    <sheet name="Status" sheetId="4" state="visible" r:id="rId6"/>
  </sheets>
  <definedNames>
    <definedName function="false" hidden="false" localSheetId="2" name="_xlnm.Print_Area" vbProcedure="false">Tätigkeitsnachweis!$A$1:$H$559</definedName>
    <definedName function="false" hidden="false" name="Ausbildungsbetrieb_Anrede" vbProcedure="false">Stammdaten!$I$8</definedName>
    <definedName function="false" hidden="false" name="Ausbildungsbetrieb_Arbeitszeit" vbProcedure="false">Stammdaten!$B$32</definedName>
    <definedName function="false" hidden="false" name="Ausbildungsbetrieb_Email" vbProcedure="false">Stammdaten!$I$20</definedName>
    <definedName function="false" hidden="false" name="Ausbildungsbetrieb_Land" vbProcedure="false">Stammdaten!$I$32</definedName>
    <definedName function="false" hidden="false" name="Ausbildungsbetrieb_Name" vbProcedure="false">Stammdaten!$I$11</definedName>
    <definedName function="false" hidden="false" name="Ausbildungsbetrieb_Nummer" vbProcedure="false">Stammdaten!$N$26</definedName>
    <definedName function="false" hidden="false" name="Ausbildungsbetrieb_Ort" vbProcedure="false">Stammdaten!$L$29</definedName>
    <definedName function="false" hidden="false" name="Ausbildungsbetrieb_PLZ" vbProcedure="false">Stammdaten!$I$29</definedName>
    <definedName function="false" hidden="false" name="Ausbildungsbetrieb_Position" vbProcedure="false">Stammdaten!$I$17</definedName>
    <definedName function="false" hidden="false" name="Ausbildungsbetrieb_Strasse" vbProcedure="false">Stammdaten!$I$26</definedName>
    <definedName function="false" hidden="false" name="Ausbildungsbetrieb_Telefon" vbProcedure="false">Stammdaten!$I$23</definedName>
    <definedName function="false" hidden="false" name="Ausbildungsbetrieb_Unternehmen" vbProcedure="false">Stammdaten!$I$5</definedName>
    <definedName function="false" hidden="false" name="Ausbildungsbetrieb_Vorname" vbProcedure="false">Stammdaten!$I$14</definedName>
    <definedName function="false" hidden="false" name="Branche" vbProcedure="false">Stammdaten!$I$37</definedName>
    <definedName function="false" hidden="false" name="Enddatum" vbProcedure="false">Stammdaten!$B$23</definedName>
    <definedName function="false" hidden="false" name="Startdatum" vbProcedure="false">Stammdaten!$B$20</definedName>
    <definedName function="false" hidden="false" name="Student_Anrede" vbProcedure="false">Stammdaten!$B$2</definedName>
    <definedName function="false" hidden="false" name="Student_Email" vbProcedure="false">Stammdaten!$B$17</definedName>
    <definedName function="false" hidden="false" name="Student_Matrikelnummer" vbProcedure="false">Stammdaten!$B$14</definedName>
    <definedName function="false" hidden="false" name="Student_Name" vbProcedure="false">Stammdaten!$B$5</definedName>
    <definedName function="false" hidden="false" name="Student_Studiengruppe" vbProcedure="false">Stammdaten!$B$11</definedName>
    <definedName function="false" hidden="false" name="Student_Vorname" vbProcedure="false">Stammdaten!$B$8</definedName>
    <definedName function="false" hidden="false" name="Taetigkeitsbereich1" vbProcedure="false">Stammdaten!$B$37</definedName>
    <definedName function="false" hidden="false" name="Taetigkeitsbereich2" vbProcedure="false">Stammdaten!$B$40</definedName>
    <definedName function="false" hidden="false" name="Taetigkeitsbereich3" vbProcedure="false">Stammdaten!$B$43</definedName>
    <definedName function="false" hidden="false" name="Taetigkeitsbereich4" vbProcedure="false">Stammdaten!$B$46</definedName>
    <definedName function="false" hidden="false" name="Taetigkeitsbereich5" vbProcedure="false">Stammdaten!$B$49</definedName>
    <definedName function="false" hidden="false" name="Vorlesung_begleitend" vbProcedure="false">Stammdaten!$B$26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<sst xmlns="http://schemas.openxmlformats.org/spreadsheetml/2006/main" count="1082" uniqueCount="255">
  <si>
    <t xml:space="preserve">Kurzanleitung</t>
  </si>
  <si>
    <t xml:space="preserve">1. Schritt</t>
  </si>
  <si>
    <t xml:space="preserve">Geben Sie im Reiter "Stammdaten" alle geforderten Informationen ein</t>
  </si>
  <si>
    <t xml:space="preserve">2. Schritt</t>
  </si>
  <si>
    <t xml:space="preserve">Füllen Sie den Tätigkeitsnachweis vollständig aus. Für jeden Tag (Außer Samstag und Sonntag) muss folgendes angegebene werden:</t>
  </si>
  <si>
    <t xml:space="preserve">Tagestyp (Anwesen, Urlaub,…)</t>
  </si>
  <si>
    <t xml:space="preserve">Anwsenheitszeit im Betrieb</t>
  </si>
  <si>
    <t xml:space="preserve">Vorlesung besucht (ja/nein)</t>
  </si>
  <si>
    <t xml:space="preserve">kurze Beschriebung der Tätigkeit(en) an diesem Tag</t>
  </si>
  <si>
    <t xml:space="preserve">3. Schritt</t>
  </si>
  <si>
    <t xml:space="preserve">Wählen Sie Tätigkeiten aus dem Berichtszeitraum aus und beschrieben Sie 5 Tätigkeiten genauer. Die Berichte werden in der Worddatei erstellt. Im Excel wird unter Stammdaten der Titel der Tätigkeitbeschreibung aufgeführt. (inkl. Dateiname).</t>
  </si>
  <si>
    <t xml:space="preserve">4. Schritt</t>
  </si>
  <si>
    <t xml:space="preserve">Drucken Sie den Tätigkeitsnachweis aus. Achten Sie hierbei auf die korrekten Umbrüche der Seiten (Ansicht &gt;&gt; Umbruchvorschau)</t>
  </si>
  <si>
    <t xml:space="preserve">5. Schritt </t>
  </si>
  <si>
    <t xml:space="preserve">Lassen Sie den ausgedruckten Tätigkeitsnachweis von Ihrem Betreuer unterschrieben (inkl. Stempel). Scannen Sie den unterschriebenen Tätigkeitsnachweis ein.  Hinweis - heben Sie den unterschriebenen Tätigkeitsnachweis auf. Dieser muss ggf. im Orginal vorgelegt werden.</t>
  </si>
  <si>
    <t xml:space="preserve">6. Schritt</t>
  </si>
  <si>
    <t xml:space="preserve">Laden Sie alle notwendigen Dokumente über die GRIPS-Plattform hoch. Die Einreichung ist nur vollständig möglich. Folgende Dateien sind hochzuladen:</t>
  </si>
  <si>
    <t xml:space="preserve">Praktikumszeugnis (PDF)</t>
  </si>
  <si>
    <t xml:space="preserve">&gt;&gt;</t>
  </si>
  <si>
    <t xml:space="preserve">NAME_MATRIKELNUMMER_Zeugnis.pdf</t>
  </si>
  <si>
    <t xml:space="preserve">Tätigkeitsnachweis (Excel-Datei)</t>
  </si>
  <si>
    <t xml:space="preserve">NAME_MATRIKELNUMMER_Tätigkeitsnachweis.xlsx</t>
  </si>
  <si>
    <t xml:space="preserve">Tätigkeitsnachweis vom Betreuer unterschrieben (PDF)</t>
  </si>
  <si>
    <t xml:space="preserve">NAME_MATRIKELNUMMER_Tätigkeitsnachweis.pdf</t>
  </si>
  <si>
    <t xml:space="preserve">Tätigkeitsbeschreibung (Word-Datei)</t>
  </si>
  <si>
    <t xml:space="preserve">NAME_MATRIKELNUMMER_Bericht.docx</t>
  </si>
  <si>
    <t xml:space="preserve">Bitte beachten Sie die korrekte Bezeichnung </t>
  </si>
  <si>
    <t xml:space="preserve">Herr</t>
  </si>
  <si>
    <t xml:space="preserve">Anrede</t>
  </si>
  <si>
    <t xml:space="preserve">Hassine</t>
  </si>
  <si>
    <t xml:space="preserve">Mechanische Werkstätte Schmidt e.K.</t>
  </si>
  <si>
    <t xml:space="preserve">Name</t>
  </si>
  <si>
    <t xml:space="preserve">Ausbildungsbetrieb</t>
  </si>
  <si>
    <t xml:space="preserve">Houcine</t>
  </si>
  <si>
    <t xml:space="preserve">Vorname</t>
  </si>
  <si>
    <t xml:space="preserve">Anrede Ansprechpartner im Betrieb</t>
  </si>
  <si>
    <t xml:space="preserve">PA6</t>
  </si>
  <si>
    <t xml:space="preserve">Halloul</t>
  </si>
  <si>
    <t xml:space="preserve">Studiengruppe</t>
  </si>
  <si>
    <t xml:space="preserve">Name Ansprechpartner*in im Betrieb</t>
  </si>
  <si>
    <t xml:space="preserve">3399727</t>
  </si>
  <si>
    <t xml:space="preserve">Amine</t>
  </si>
  <si>
    <t xml:space="preserve">Matrikelnummer</t>
  </si>
  <si>
    <t xml:space="preserve">Vorname Ansprechpartner*in im Betrieb</t>
  </si>
  <si>
    <t xml:space="preserve">houcine1.hassine@hs-regensburg.de</t>
  </si>
  <si>
    <t xml:space="preserve">⟨Position im Unternehmen⟩</t>
  </si>
  <si>
    <t xml:space="preserve">Email </t>
  </si>
  <si>
    <t xml:space="preserve">Position bzw. Funktion im Unternehmen</t>
  </si>
  <si>
    <t xml:space="preserve">⟨E-Mail Betreuer⟩</t>
  </si>
  <si>
    <t xml:space="preserve">Startdatum (erster Arbeitstag)</t>
  </si>
  <si>
    <t xml:space="preserve">Email Ansprechpartner*in</t>
  </si>
  <si>
    <t xml:space="preserve">⟨Telefon Betreuer⟩</t>
  </si>
  <si>
    <t xml:space="preserve">Enddatum (letzter Arbeitstag)</t>
  </si>
  <si>
    <t xml:space="preserve">Telefon Ansprechpartner*in</t>
  </si>
  <si>
    <t xml:space="preserve">ja</t>
  </si>
  <si>
    <t xml:space="preserve">Stiftstraße</t>
  </si>
  <si>
    <t xml:space="preserve">Vorlesung begleitend </t>
  </si>
  <si>
    <t xml:space="preserve">Strasse Betrieb</t>
  </si>
  <si>
    <t xml:space="preserve">Nummer</t>
  </si>
  <si>
    <t xml:space="preserve">zum Praktikum besucht</t>
  </si>
  <si>
    <t xml:space="preserve">93343</t>
  </si>
  <si>
    <t xml:space="preserve">Essing</t>
  </si>
  <si>
    <t xml:space="preserve">PLZ</t>
  </si>
  <si>
    <t xml:space="preserve">Ort</t>
  </si>
  <si>
    <t xml:space="preserve">Stunden pro Woche</t>
  </si>
  <si>
    <t xml:space="preserve">Deutschland</t>
  </si>
  <si>
    <t xml:space="preserve">Arbeitszeit in </t>
  </si>
  <si>
    <t xml:space="preserve">Land</t>
  </si>
  <si>
    <t xml:space="preserve">der Abteilung</t>
  </si>
  <si>
    <t xml:space="preserve">Logistik und Transport</t>
  </si>
  <si>
    <t xml:space="preserve">Anlagen- und Maschinenbau</t>
  </si>
  <si>
    <t xml:space="preserve">Tätigkeitsbereich 1 (Bezeichung der Tätigkeit)</t>
  </si>
  <si>
    <t xml:space="preserve">Branche</t>
  </si>
  <si>
    <t xml:space="preserve">Informatik und Software</t>
  </si>
  <si>
    <t xml:space="preserve">Tätigkeitsbereich 2 (Bezeichung der Tätigkeit)</t>
  </si>
  <si>
    <t xml:space="preserve">Beratung und Planung</t>
  </si>
  <si>
    <t xml:space="preserve">Tätigkeitsbereich 3 (Bezeichung der Tätigkeit)</t>
  </si>
  <si>
    <t xml:space="preserve">Konstruktion</t>
  </si>
  <si>
    <t xml:space="preserve">Tätigkeitsbereich 4 (Bezeichung der Tätigkeit)</t>
  </si>
  <si>
    <t xml:space="preserve">Tätigkeitsbereich 5 (Bezeichung der Tätigkeit, Freitext)</t>
  </si>
  <si>
    <t xml:space="preserve">Stand:</t>
  </si>
  <si>
    <t xml:space="preserve">Rev007</t>
  </si>
  <si>
    <t xml:space="preserve">Ansprechpartner im Betrieb</t>
  </si>
  <si>
    <t xml:space="preserve">Email Ansprechpartner</t>
  </si>
  <si>
    <t xml:space="preserve">Telefon Ansprechpartner</t>
  </si>
  <si>
    <t xml:space="preserve">Typ</t>
  </si>
  <si>
    <t xml:space="preserve">Vorlesung besucht?</t>
  </si>
  <si>
    <t xml:space="preserve">Tag</t>
  </si>
  <si>
    <t xml:space="preserve">Datum</t>
  </si>
  <si>
    <t xml:space="preserve">Anwesen-heitszeit im Betrieb</t>
  </si>
  <si>
    <t xml:space="preserve">genaue Angaben zu den Tätigkeiten</t>
  </si>
  <si>
    <t xml:space="preserve">A</t>
  </si>
  <si>
    <t xml:space="preserve">h</t>
  </si>
  <si>
    <t xml:space="preserve">nein</t>
  </si>
  <si>
    <t xml:space="preserve">Begrüßung und Einführung im Betrieb, Rundgang durch Werkstatt, Lager und Büro. Teilnahme an der Sicherheitsunterweisung und Einweisung in die Hausordnung.</t>
  </si>
  <si>
    <t xml:space="preserve">Unterweisung an den Maschinen und Arbeitsplätzen durch den Betreuer. Persönliche Schutzausrüstung erhalten, Arbeitsplatz und Rechner eingerichtet, Zugänge zur CAD-Software und zu den Netzlaufwerken angelegt.</t>
  </si>
  <si>
    <t xml:space="preserve">Aufgaben des Praxissemesters mit dem Betreuer besprochen und zeitlich eingeordnet. Abläufe von der Auftragsannahme bis zur Auslieferung kennengelernt und bei laufenden Arbeiten in der Werkstatt mitgeholfen.</t>
  </si>
  <si>
    <t xml:space="preserve">Aufgabenstellung zum Schraubenlager erhalten und mit dem Betreuer besprochen. Das neue Regal im Keller angeschaut und vermessen (6 Fächer, je 930 × 500 mm), Ausgangszustand fotografiert.</t>
  </si>
  <si>
    <t xml:space="preserve">Bestandsaufnahme begonnen: Zylinderkopf- und Sechskantschrauben nach Gewinde (M5–M20) und Länge erfasst. Matrix-Struktur Gewinde × Länge in Excel angelegt.</t>
  </si>
  <si>
    <t xml:space="preserve">Bestandsaufnahme mit Holz- und Schloßschrauben abgeschlossen. Insgesamt 135 Sorten erfasst; beim Gegenprüfen drei Rechenfehler in den Ausgangsdateien gefunden und korrigiert.</t>
  </si>
  <si>
    <t xml:space="preserve">Bestand ausgewertet: Verteilung nach Typ, Gewindegröße und Länge zusammengestellt und eine ABC-Analyse durchgeführt. Schwerpunkt bei M8 und M10, daraus die drei Boxgrößen S, M und L abgeleitet.</t>
  </si>
  <si>
    <t xml:space="preserve">Ordnungskonzepte für die vier Schraubentypen erstellt: je Typ die vollständige Matrix aufgebaut und zwei Schubladenvarianten entwickelt und verglichen.</t>
  </si>
  <si>
    <t xml:space="preserve">Alle vier Typen in einer Gesamtmatrix zusammengeführt, Schubladeneinteilung nach Länge festgelegt und den Gesamtbedarf ermittelt: 14 kleine, 81 mittlere und 40 große Behälter.</t>
  </si>
  <si>
    <t xml:space="preserve">Boxen- und Regallayout geplant: Rastermaß 100 mm festgelegt, Boxgrößen mit 102, 115 und 145 mm definiert und die Anzahl Boxen je Fach mit den Regalmaßen abgeglichen.</t>
  </si>
  <si>
    <t xml:space="preserve">Behälter und Fach-Varianten im CAD konstruiert (12 bis 27 Boxen je Fach) und daraus drei komplette Regalvarianten mit 144, 156 und 162 Boxplätzen aufgebaut.</t>
  </si>
  <si>
    <t xml:space="preserve">Nutzwertanalyse der drei Regalvarianten aufgestellt und gewichtet, Kapazitätsnachweis gerechnet (144 Plätze für 135 Sorten) und die Variante S · M · L als Empfehlung begründet.</t>
  </si>
  <si>
    <t xml:space="preserve">VA</t>
  </si>
  <si>
    <t xml:space="preserve">Belegungsplan erstellt: jeder der 135 Sorten einen festen, beschrifteten Platz zugeordnet. Bezugsquellen recherchiert, Ergebnisse dem Betreuer vorgestellt und eine Arbeitsanweisung für die Materialentnahme entworfen.</t>
  </si>
  <si>
    <t xml:space="preserve">Mit dem digitalen Lagerbestand-System begonnen: Aufbau der Excel-Arbeitsmappe festgelegt und die Artikelliste mit Barcode, Bezeichnung, Profil, Maß, Material und Bestand angelegt.</t>
  </si>
  <si>
    <t xml:space="preserve">K</t>
  </si>
  <si>
    <t xml:space="preserve">Krank</t>
  </si>
  <si>
    <t xml:space="preserve">Zweites Tabellenblatt für das Verlaufsprotokoll aufgebaut: jede Buchung wird mit Zeitstempel, Buchungsart und Mengenänderung festgehalten.</t>
  </si>
  <si>
    <t xml:space="preserve">Erste VBA-Makros geschrieben: Ein- und Ausbuchen über ein Eingabefeld, Menge abfragen und Bestand fortschreiben.</t>
  </si>
  <si>
    <t xml:space="preserve">Barcode-Suche umgesetzt: Der eingescannte Code springt zum Artikel und zeigt alle Felder im Dashboard an.</t>
  </si>
  <si>
    <t xml:space="preserve">Dashboard als Bedienoberfläche gestaltet: Scannfunktionen links, Suchergebnis in der Mitte, Exportbereich rechts.</t>
  </si>
  <si>
    <t xml:space="preserve">Automatische Färbung des Bestands nach Soll- und Ist-Wert eingebaut, damit knapper Bestand sofort auffällt.</t>
  </si>
  <si>
    <t xml:space="preserve">Hier sollte der Seitenumbruch Seite 1 auf Seite 2 sein - Bitte nutzen Sie die Seitenumbruchsansicht (Reiter "Ansicht &gt; Umbruchsvorschau) </t>
  </si>
  <si>
    <t xml:space="preserve">Sie könne mit der Maus den Umbruch verschieben.</t>
  </si>
  <si>
    <t xml:space="preserve">Eigene Eingabemaske für das Anlegen neuer Artikel als UserForm erstellt und mit der Artikelliste verbunden.</t>
  </si>
  <si>
    <t xml:space="preserve">Weitere Eingabemasken für Bearbeiten und Löschen ergänzt und eine Sicherheitsabfrage vor dem Löschen eingebaut.</t>
  </si>
  <si>
    <t xml:space="preserve">Filterfunktion über Bezeichnung, Profil, Maß und Materialgruppe umgesetzt und getestet.</t>
  </si>
  <si>
    <t xml:space="preserve">Export auf Knopfdruck umgesetzt: ausgewählte Blätter als Excel- oder PDF-Datei in einen festen Zielordner speichern.</t>
  </si>
  <si>
    <t xml:space="preserve">F</t>
  </si>
  <si>
    <t xml:space="preserve">Karfreitag</t>
  </si>
  <si>
    <t xml:space="preserve">Ostermontag</t>
  </si>
  <si>
    <t xml:space="preserve">Versand der Bestandsliste per E-Mail ergänzt und mit Testdaten geprüft.</t>
  </si>
  <si>
    <t xml:space="preserve">Einstellungsblatt angelegt, damit Zielordner, Empfängeradresse und Schwellenwerte ohne Eingriff in den Code änderbar sind.</t>
  </si>
  <si>
    <t xml:space="preserve">Tablet-Modus entwickelt: Vollbild-Oberfläche ohne Excel-Bedienelemente, damit das System direkt in der Werkstatt bedienbar ist.</t>
  </si>
  <si>
    <t xml:space="preserve">Entwicklermodus ergänzt, der die Excel-Oberfläche für Wartungsarbeiten wieder einblendet, und mit einem Kennwort geschützt.</t>
  </si>
  <si>
    <t xml:space="preserve">Makros in Modulgruppen aufgeteilt und benannt, damit die Datei wartbar bleibt und Funktionen wiederverwendet werden können.</t>
  </si>
  <si>
    <t xml:space="preserve">Material-Entnahme-Logik entworfen: Beim Zuschnitt soll die Restlänge selbstständig eingebucht werden.</t>
  </si>
  <si>
    <t xml:space="preserve">Material-Entnahme umgesetzt: Restlängen werden automatisch angelegt oder mit vorhandenen gleich langen Resten zusammengefasst.</t>
  </si>
  <si>
    <t xml:space="preserve">Material-Entnahme mit realen Zuschnitten aus der Werkstatt getestet und zwei Fehler bei der Restberechnung behoben.</t>
  </si>
  <si>
    <t xml:space="preserve">System einem Mitarbeiter gezeigt, Rückmeldungen aufgenommen und die Bedienung an zwei Stellen vereinfacht.</t>
  </si>
  <si>
    <t xml:space="preserve">Kurzanleitung für die Bedienung des Lagerbestand-Systems geschrieben und an den Arbeitsplatz gelegt.</t>
  </si>
  <si>
    <t xml:space="preserve">Schwachstellen des Excel-Systems zusammengetragen (Bindung an einen Rechner, kein Mehrbenutzerbetrieb) und die Neuentwicklung als eigenständige Web-Anwendung mit dem Betreuer besprochen. Architektur in drei Schichten festgelegt und mit KI-Unterstützung aufgesetzt.</t>
  </si>
  <si>
    <t xml:space="preserve">Datenmodell aus den Excel-Blättern übernommen und die Kernfunktionen portiert: Artikel verwalten, Buchungen, Verlauf und die Material-Entnahme mit Resteverwaltung. 86 reale Artikel-Datensätze und 50 Artikelgruppen übernommen und die Übernahme kontrolliert.</t>
  </si>
  <si>
    <t xml:space="preserve">Anwendung als Hintergrunddienst mit täglichem Backup eingerichtet und zusätzlich in der Cloud bereitgestellt. Lasttest mit 100 gleichzeitigen Schreibzugriffen durchgeführt und die Bedienung dokumentiert.</t>
  </si>
  <si>
    <t xml:space="preserve">Aufgabenstellung zum Schweißarbeitsplatz erhalten. Bestehenden Platz besichtigt, fotografiert und die verfügbare Fläche aufgemessen (rund 29 m²).</t>
  </si>
  <si>
    <t xml:space="preserve">Hier sollte der Seitenumbruch Seite 2 auf Seite 3 sein - Bitte nutzen Sie die Seitenumbruchsansicht (Reiter "Ansicht &gt; Umbruchsvorschau) </t>
  </si>
  <si>
    <t xml:space="preserve">Verwendete Schweißverfahren mit dem Betreuer besprochen (MAG/MIG und E-Hand) und die Unterschiede für die spätere Ausstattung festgehalten.</t>
  </si>
  <si>
    <t xml:space="preserve">Aufnahme der vorhandenen Werkzeuge am Schweißplatz begonnen und nach Verwendungszweck gruppiert.</t>
  </si>
  <si>
    <t xml:space="preserve">Werkzeugaufnahme fortgesetzt: Kategorien Schweißen MAG/MIG und Schweißen E-Hand vollständig erfasst.</t>
  </si>
  <si>
    <t xml:space="preserve">Kategorien Spannen und Fixieren sowie Nachbearbeitung erfasst und mit den Mitarbeitern auf Vollständigkeit geprüft.</t>
  </si>
  <si>
    <t xml:space="preserve">Tag der Arbeit</t>
  </si>
  <si>
    <t xml:space="preserve">Kategorien Anreißen und Messen sowie persönliche Schutzausrüstung für drei Personen zusammengestellt.</t>
  </si>
  <si>
    <t xml:space="preserve">Kategorien Sicherheit und Umgebung, Verbrauchsmaterial sowie 5S-Möbel ergänzt. Damit sind alle neun Werkzeugkategorien A bis I erfasst.</t>
  </si>
  <si>
    <t xml:space="preserve">Marktrecherche zu den Werkzeugen begonnen und Richtpreise je Position gesammelt.</t>
  </si>
  <si>
    <t xml:space="preserve">Marktrecherche abgeschlossen und je Kaufteil drei Preisstufen gegenübergestellt.</t>
  </si>
  <si>
    <t xml:space="preserve">Ergonomische Grundmaße für den Arbeitsplatz zusammengetragen (Arbeitshöhe, Greifräume, Beleuchtung) und mit den Normvorgaben abgeglichen.</t>
  </si>
  <si>
    <t xml:space="preserve">Erstes Layout-Konzept für den Platz gezeichnet und die Wege zwischen Tisch, Maschine und Materialablage geprüft.</t>
  </si>
  <si>
    <t xml:space="preserve">Zwei weitere Layout-Varianten entwickelt und die drei Konzepte nebeneinandergestellt.</t>
  </si>
  <si>
    <t xml:space="preserve">Nutzwertanalyse für die Werkbank-Ausführung aufgestellt: Kriterien festgelegt und gewichtet.</t>
  </si>
  <si>
    <t xml:space="preserve">Christi Himmelfahrt</t>
  </si>
  <si>
    <t xml:space="preserve">Nutzwertanalyse für das Layout-Konzept gerechnet und die Ergebnisse ausgewertet.</t>
  </si>
  <si>
    <t xml:space="preserve">Kostenschätzung je Variante erstellt und der Nutzwertanalyse gegenübergestellt.</t>
  </si>
  <si>
    <t xml:space="preserve">Aufgabenstellung zum neuen Schweißtisch erhalten. Anforderungen mit dem Betreuer gesammelt: Größe, Spannmöglichkeiten, Fahrbarkeit.</t>
  </si>
  <si>
    <t xml:space="preserve">Vorhandenen Tisch vermessen und die Schwachstellen im Betrieb aufgenommen.</t>
  </si>
  <si>
    <t xml:space="preserve">Recherche zu Schweißtisch-Konzepten und Spannsystemen durchgeführt, Beispiele gesammelt und bewertet.</t>
  </si>
  <si>
    <t xml:space="preserve">Erste Handskizzen für den neuen Tisch angefertigt und mit dem Betreuer besprochen.</t>
  </si>
  <si>
    <t xml:space="preserve">Hier sollte der Seitenumbruch Seite 3 auf Seite 4 sein - Bitte nutzen Sie die Seitenumbruchsansicht (Reiter "Ansicht &gt; Umbruchsvorschau) </t>
  </si>
  <si>
    <t xml:space="preserve">Pfingstmontag</t>
  </si>
  <si>
    <t xml:space="preserve">Grundkonzept festgelegt: ausziehbarer Tisch mit Lochplatten-Spannsystem auf fahrbarem Untergestell.</t>
  </si>
  <si>
    <t xml:space="preserve">Marktrecherche zu Lochplatten durchgeführt, Angebote verglichen und das D16-Raster ausgewählt.</t>
  </si>
  <si>
    <t xml:space="preserve">Mit der CAD-Konstruktion begonnen: Tischplatte mit Lochraster aufgebaut.</t>
  </si>
  <si>
    <t xml:space="preserve">Oberteil konstruiert: Träger und Profile modelliert und die Teilenummern vergeben.</t>
  </si>
  <si>
    <t xml:space="preserve">Unterteil konstruiert: Beine, Streben und Fußplatten aufgebaut.</t>
  </si>
  <si>
    <t xml:space="preserve">Erweiterungssystem als Teleskop-Rahmen konstruiert, beidseitig ausziehbar.</t>
  </si>
  <si>
    <t xml:space="preserve">Baugruppen zum Gesamtzusammenbau zusammengeführt und die Struktur geordnet.</t>
  </si>
  <si>
    <t xml:space="preserve">Fronleichnam</t>
  </si>
  <si>
    <t xml:space="preserve">Kollisionen und Verfahrwege im Modell geprüft und die Führungen angepasst.</t>
  </si>
  <si>
    <t xml:space="preserve">Erste Zeichnungsblätter abgeleitet und bemaßt.</t>
  </si>
  <si>
    <t xml:space="preserve">Weitere Einzelteilzeichnungen erstellt und die Schriftfelder ausgefüllt.</t>
  </si>
  <si>
    <t xml:space="preserve">Stücklisten der Baugruppen erstellt und die Zukaufteile gekennzeichnet.</t>
  </si>
  <si>
    <t xml:space="preserve">Aufgabenstellung zum Schweißmaschinenwagen erhalten. Vorhandenen Wagen im Betrieb fotografiert und den Zustand aufgenommen.</t>
  </si>
  <si>
    <t xml:space="preserve">Schweißgerät und Gasflasche vor Ort aufgemessen und die Maße in einer Handskizze festgehalten.</t>
  </si>
  <si>
    <t xml:space="preserve">Vereinfachte CAD-Platzhalter für Gerät und Flasche erstellt, um den Bauraum abzubilden.</t>
  </si>
  <si>
    <t xml:space="preserve">Anforderungsliste aufgestellt: was der Wagen tragen und was er können muss.</t>
  </si>
  <si>
    <t xml:space="preserve">Anforderungsliste auf 14 nummerierte Punkte gebracht und mit dem Betreuer abgestimmt.</t>
  </si>
  <si>
    <t xml:space="preserve">Referenzprojekte recherchiert und fünf Designrichtungen für den Wagen gesammelt.</t>
  </si>
  <si>
    <t xml:space="preserve">Zwei erste Entwürfe im CAD aufgebaut und gegenübergestellt.</t>
  </si>
  <si>
    <t xml:space="preserve">Hier sollte der Seitenumbruch Seite 4 auf Seite 5 sein - Bitte nutzen Sie die Seitenumbruchsansicht (Reiter "Ansicht &gt; Umbruchsvorschau) </t>
  </si>
  <si>
    <t xml:space="preserve">Maße und Ergonomie festgelegt, Gewicht des beladenen Wagens grob abgeschätzt.</t>
  </si>
  <si>
    <t xml:space="preserve">Kompletten Neubau als Variante A konstruiert und einen Belegungsplan mit 16 Werkzeugpositionen erstellt.</t>
  </si>
  <si>
    <t xml:space="preserve">Beim Maßabgleich festgestellt, dass das geplante Gerätefach zu niedrig für die vorhandene Maschine ist.</t>
  </si>
  <si>
    <t xml:space="preserve">Als Variante B ein Aufsatzgestell entworfen, das über den vorhandenen Wagen fährt.</t>
  </si>
  <si>
    <t xml:space="preserve">Variante B überarbeitet, sodass die Gasflasche innerhalb der Aufstandsfläche steht.</t>
  </si>
  <si>
    <t xml:space="preserve">Vorzugsvariante festgelegt: modularer Aufbau in vier Etagen.</t>
  </si>
  <si>
    <t xml:space="preserve">Aufgabenstellung zum Zerspanarbeitsplatz erhalten und die Rahmenbedingungen aufgenommen (Drehen und Fräsen, drei Personen, eine Schicht).</t>
  </si>
  <si>
    <t xml:space="preserve">Bestehenden Platz besichtigt, Maschinen und vorhandene Ausstattung fotografiert.</t>
  </si>
  <si>
    <t xml:space="preserve">Werkzeugbedarf für das Drehen zusammengestellt.</t>
  </si>
  <si>
    <t xml:space="preserve">Werkzeugbedarf für das Fräsen sowie die Spann- und Aufspannmittel erfasst.</t>
  </si>
  <si>
    <t xml:space="preserve">Mess- und Prüfmittel sowie Nacharbeit und Hilfsmittel ergänzt. Damit sind alle sechs Gruppen erfasst.</t>
  </si>
  <si>
    <t xml:space="preserve">Mengen je Position festgelegt und begründet, welche Werkzeuge dreifach beschafft werden müssen.</t>
  </si>
  <si>
    <t xml:space="preserve">Preise recherchiert und die Werkzeugliste mit 35 Positionen bepreist.</t>
  </si>
  <si>
    <t xml:space="preserve">Kosten nach Kategorien ausgewertet und die teuersten Positionen herausgearbeitet.</t>
  </si>
  <si>
    <t xml:space="preserve">5S-Ordnung ausgearbeitet und die Werkzeuge den Zonen A, B und C zugeordnet.</t>
  </si>
  <si>
    <t xml:space="preserve">Grundmaße der Werkbank festgelegt und mit den Ergonomienormen abgeglichen.</t>
  </si>
  <si>
    <t xml:space="preserve">Vier Bauvarianten skizziert und in 3D dargestellt: Aluprofil, Stahl-Standard, Systemmodule und Eigenbau.</t>
  </si>
  <si>
    <t xml:space="preserve">Vier Layout-Konzepte entwickelt und die Vor- und Nachteile gegenübergestellt.</t>
  </si>
  <si>
    <t xml:space="preserve">Werkstatt-Grundriss maßstäblich gezeichnet und die Freiräume an den Maschinen geprüft.</t>
  </si>
  <si>
    <t xml:space="preserve">Hier sollte der Seitenumbruch Seite 5 auf Seite 6 sein - Bitte nutzen Sie die Seitenumbruchsansicht (Reiter "Ansicht &gt; Umbruchsvorschau) </t>
  </si>
  <si>
    <t xml:space="preserve">Nutzwertanalyse aufgestellt: sieben Kriterien festgelegt und gewichtet.</t>
  </si>
  <si>
    <t xml:space="preserve">Aufgabenstellung zum Rostschutz für die Schienenprofile erhalten. Lagerbedingungen der Profile im Betrieb aufgenommen und fotografiert.</t>
  </si>
  <si>
    <t xml:space="preserve">Bestehende Rostschäden begutachtet und die Ursachen mit den Mitarbeitern besprochen (Feuchtigkeit, Kondenswasser, Lagerdauer).</t>
  </si>
  <si>
    <t xml:space="preserve">Recherche zu Korrosionsschutzverfahren durchgeführt: Ölen, Wachsen, VCI-Folie und trockene Lagerung verglichen.</t>
  </si>
  <si>
    <t xml:space="preserve">Verfahren gegenübergestellt und nach Wirksamkeit, Aufwand und Kosten bewertet.</t>
  </si>
  <si>
    <t xml:space="preserve">Konzept für eine geschlossene Lagerbox mit VCI-Schutz entworfen und die benötigten Maße aufgenommen.</t>
  </si>
  <si>
    <t xml:space="preserve">Lagerbox im CAD konstruiert und die Aufteilung für die verschiedenen Profillängen festgelegt.</t>
  </si>
  <si>
    <t xml:space="preserve">Material- und Kostenaufstellung für die Schutzbox erstellt.</t>
  </si>
  <si>
    <t xml:space="preserve">Zeitersparnis durch den Wegfall des Nacharbeitens abgeschätzt und der Investition gegenübergestellt.</t>
  </si>
  <si>
    <t xml:space="preserve">Arbeitsanweisung für die Einlagerung und Entnahme der Schienenprofile entworfen.</t>
  </si>
  <si>
    <t xml:space="preserve">Hier sollte der letzte Seitenumbruch (Seite 6 Ende) zu sehen sein.  (Reiter "Ansicht &gt; Umbruchsvorschau) </t>
  </si>
  <si>
    <t xml:space="preserve">Anwesend</t>
  </si>
  <si>
    <t xml:space="preserve">Krank (Abwesend)</t>
  </si>
  <si>
    <t xml:space="preserve">Automobil- und Fahrzeugbau</t>
  </si>
  <si>
    <t xml:space="preserve">Entwicklung und Forschung</t>
  </si>
  <si>
    <t xml:space="preserve">U</t>
  </si>
  <si>
    <t xml:space="preserve">Urlaub (Abwesend)</t>
  </si>
  <si>
    <t xml:space="preserve">Bau</t>
  </si>
  <si>
    <t xml:space="preserve">Fertigung und Produktion</t>
  </si>
  <si>
    <t xml:space="preserve">G</t>
  </si>
  <si>
    <t xml:space="preserve">Gleitzeit (Abwesend)</t>
  </si>
  <si>
    <t xml:space="preserve">Chemie</t>
  </si>
  <si>
    <t xml:space="preserve">Ku</t>
  </si>
  <si>
    <t xml:space="preserve">Kurzarbeit (Abwesend)</t>
  </si>
  <si>
    <t xml:space="preserve">Dienstleistungen</t>
  </si>
  <si>
    <t xml:space="preserve">Qualitätsmanagement / -sicherung</t>
  </si>
  <si>
    <t xml:space="preserve">B</t>
  </si>
  <si>
    <t xml:space="preserve">Betriebsschließung (Abwesend)</t>
  </si>
  <si>
    <t xml:space="preserve">Energie- und Umweltwirtschaft</t>
  </si>
  <si>
    <t xml:space="preserve">Verwaltung und Management</t>
  </si>
  <si>
    <t xml:space="preserve">V</t>
  </si>
  <si>
    <t xml:space="preserve">Vorlesung und keine Anwesenheit im Betrieb</t>
  </si>
  <si>
    <t xml:space="preserve">Finanzen</t>
  </si>
  <si>
    <t xml:space="preserve">Compliance und Recht</t>
  </si>
  <si>
    <t xml:space="preserve">Vorlesung und Anwesend im Betrieb</t>
  </si>
  <si>
    <t xml:space="preserve">Gesundheit, Medizin &amp; Pharma</t>
  </si>
  <si>
    <t xml:space="preserve">Einkauf und Beschaffung</t>
  </si>
  <si>
    <t xml:space="preserve">Feiertag</t>
  </si>
  <si>
    <t xml:space="preserve">Immobilien</t>
  </si>
  <si>
    <t xml:space="preserve">Industrielle Zulieferer</t>
  </si>
  <si>
    <t xml:space="preserve">Informations- und Kommunikationstechnik</t>
  </si>
  <si>
    <t xml:space="preserve">Kundendienst </t>
  </si>
  <si>
    <t xml:space="preserve">Handel &amp; Konsumgüter</t>
  </si>
  <si>
    <t xml:space="preserve">Marketing und Unternehmenskommunikation</t>
  </si>
  <si>
    <t xml:space="preserve">Nahrung &amp; Genuss</t>
  </si>
  <si>
    <t xml:space="preserve">Operations</t>
  </si>
  <si>
    <t xml:space="preserve">Technik</t>
  </si>
  <si>
    <t xml:space="preserve">Verkauf und Vertrieb</t>
  </si>
  <si>
    <t xml:space="preserve">Textil &amp; Mode</t>
  </si>
  <si>
    <t xml:space="preserve">Tourismus &amp; Freizeit</t>
  </si>
  <si>
    <t xml:space="preserve">Transport &amp; Logistik</t>
  </si>
  <si>
    <t xml:space="preserve">Werkstoffe &amp; Werkstoffverarbeitung</t>
  </si>
  <si>
    <t xml:space="preserve">Wohnen &amp; Einrichtung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</si>
</sst>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.mm\.yyyy"/>
    <numFmt numFmtId="166" formatCode="m/d/yyyy"/>
    <numFmt numFmtId="167" formatCode="0.00"/>
    <numFmt numFmtId="168" formatCode="@"/>
    <numFmt numFmtId="169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u val="single"/>
      <sz val="16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6"/>
      <color theme="1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9"/>
      <color theme="1"/>
      <name val="Arial"/>
      <family val="2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sz val="6"/>
      <color rgb="FF000000"/>
      <name val="Arial"/>
      <family val="2"/>
      <charset val="1"/>
    </font>
    <font>
      <sz val="9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0" tint="-0.15"/>
        <bgColor rgb="FFC0C0C0"/>
      </patternFill>
    </fill>
  </fills>
  <borders count="27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>
        <color theme="0" tint="-0.5"/>
      </left>
      <right/>
      <top style="medium">
        <color theme="0" tint="-0.5"/>
      </top>
      <bottom/>
      <diagonal/>
    </border>
    <border diagonalUp="false" diagonalDown="false">
      <left/>
      <right/>
      <top style="medium">
        <color theme="0" tint="-0.5"/>
      </top>
      <bottom/>
      <diagonal/>
    </border>
    <border diagonalUp="false" diagonalDown="false">
      <left/>
      <right style="medium">
        <color theme="0" tint="-0.5"/>
      </right>
      <top style="medium">
        <color theme="0" tint="-0.5"/>
      </top>
      <bottom/>
      <diagonal/>
    </border>
    <border diagonalUp="false" diagonalDown="false">
      <left style="medium">
        <color theme="0" tint="-0.5"/>
      </left>
      <right/>
      <top/>
      <bottom style="medium">
        <color theme="0" tint="-0.5"/>
      </bottom>
      <diagonal/>
    </border>
    <border diagonalUp="false" diagonalDown="false">
      <left/>
      <right/>
      <top/>
      <bottom style="medium">
        <color theme="0" tint="-0.5"/>
      </bottom>
      <diagonal/>
    </border>
    <border diagonalUp="false" diagonalDown="false">
      <left/>
      <right style="medium">
        <color theme="0" tint="-0.5"/>
      </right>
      <top/>
      <bottom style="medium">
        <color theme="0" tint="-0.5"/>
      </bottom>
      <diagonal/>
    </border>
    <border diagonalUp="false" diagonalDown="false">
      <left style="medium">
        <color theme="0" tint="-0.5"/>
      </left>
      <right style="dotted">
        <color theme="0" tint="-0.5"/>
      </right>
      <top style="medium">
        <color theme="0" tint="-0.5"/>
      </top>
      <bottom style="dotted">
        <color theme="0" tint="-0.5"/>
      </bottom>
      <diagonal/>
    </border>
    <border diagonalUp="false" diagonalDown="false">
      <left style="dotted">
        <color theme="0" tint="-0.5"/>
      </left>
      <right style="dotted">
        <color theme="0" tint="-0.5"/>
      </right>
      <top style="medium">
        <color theme="0" tint="-0.5"/>
      </top>
      <bottom style="dotted">
        <color theme="0" tint="-0.5"/>
      </bottom>
      <diagonal/>
    </border>
    <border diagonalUp="false" diagonalDown="false">
      <left style="dotted">
        <color theme="0" tint="-0.5"/>
      </left>
      <right style="medium">
        <color theme="0" tint="-0.5"/>
      </right>
      <top style="medium">
        <color theme="0" tint="-0.5"/>
      </top>
      <bottom style="dotted">
        <color theme="0" tint="-0.5"/>
      </bottom>
      <diagonal/>
    </border>
    <border diagonalUp="false" diagonalDown="false">
      <left style="medium">
        <color theme="0" tint="-0.5"/>
      </left>
      <right style="dotted">
        <color theme="0" tint="-0.5"/>
      </right>
      <top style="dotted">
        <color theme="0" tint="-0.5"/>
      </top>
      <bottom style="dotted">
        <color theme="0" tint="-0.5"/>
      </bottom>
      <diagonal/>
    </border>
    <border diagonalUp="false" diagonalDown="false">
      <left style="dotted">
        <color theme="0" tint="-0.5"/>
      </left>
      <right style="dotted">
        <color theme="0" tint="-0.5"/>
      </right>
      <top style="dotted">
        <color theme="0" tint="-0.5"/>
      </top>
      <bottom style="dotted">
        <color theme="0" tint="-0.5"/>
      </bottom>
      <diagonal/>
    </border>
    <border diagonalUp="false" diagonalDown="false">
      <left style="dotted">
        <color theme="0" tint="-0.5"/>
      </left>
      <right style="medium">
        <color theme="0" tint="-0.5"/>
      </right>
      <top style="dotted">
        <color theme="0" tint="-0.5"/>
      </top>
      <bottom style="dotted">
        <color theme="0" tint="-0.5"/>
      </bottom>
      <diagonal/>
    </border>
    <border diagonalUp="false" diagonalDown="false">
      <left style="medium">
        <color theme="0" tint="-0.5"/>
      </left>
      <right style="dotted">
        <color theme="0" tint="-0.5"/>
      </right>
      <top style="dotted">
        <color theme="0" tint="-0.5"/>
      </top>
      <bottom style="medium">
        <color theme="0" tint="-0.5"/>
      </bottom>
      <diagonal/>
    </border>
    <border diagonalUp="false" diagonalDown="false">
      <left style="dotted">
        <color theme="0" tint="-0.5"/>
      </left>
      <right style="dotted">
        <color theme="0" tint="-0.5"/>
      </right>
      <top style="dotted">
        <color theme="0" tint="-0.5"/>
      </top>
      <bottom style="medium">
        <color theme="0" tint="-0.5"/>
      </bottom>
      <diagonal/>
    </border>
    <border diagonalUp="false" diagonalDown="false">
      <left style="dotted">
        <color theme="0" tint="-0.5"/>
      </left>
      <right style="medium">
        <color theme="0" tint="-0.5"/>
      </right>
      <top style="dotted">
        <color theme="0" tint="-0.5"/>
      </top>
      <bottom style="medium">
        <color theme="0" tint="-0.5"/>
      </bottom>
      <diagonal/>
    </border>
    <border diagonalUp="true" diagonalDown="false">
      <left/>
      <right/>
      <top/>
      <bottom style="medium"/>
      <diagonal style="medium"/>
    </border>
    <border diagonalUp="false" diagonalDown="false">
      <left/>
      <right/>
      <top/>
      <bottom style="medium"/>
      <diagonal/>
    </border>
    <border diagonalUp="false" diagonalDown="true">
      <left/>
      <right/>
      <top style="medium"/>
      <bottom/>
      <diagonal style="medium"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2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5" fontId="4" fillId="2" borderId="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4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0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0" fillId="2" borderId="17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8" fontId="10" fillId="2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0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0" fillId="2" borderId="2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false" hidden="false"/>
    </xf>
    <xf numFmtId="164" fontId="10" fillId="0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9" fontId="1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10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1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10" fillId="2" borderId="23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4" fontId="4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9" fontId="4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4" fillId="2" borderId="16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4" fillId="2" borderId="17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8" fontId="4" fillId="2" borderId="0" xfId="0" applyFont="true" applyBorder="false" applyAlignment="true" applyProtection="true">
      <alignment horizontal="left" vertical="top" textRotation="0" wrapText="true" indent="0" shrinkToFit="false"/>
      <protection locked="false" hidden="false"/>
    </xf>
    <xf numFmtId="169" fontId="4" fillId="2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4" fillId="2" borderId="19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4" fillId="2" borderId="20" xfId="0" applyFont="true" applyBorder="true" applyAlignment="true" applyProtection="true">
      <alignment horizontal="left" vertical="top" textRotation="0" wrapText="true" indent="0" shrinkToFit="false"/>
      <protection locked="false" hidden="false"/>
    </xf>
    <xf numFmtId="169" fontId="4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4" fillId="2" borderId="22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8" fontId="4" fillId="2" borderId="23" xfId="0" applyFont="true" applyBorder="true" applyAlignment="true" applyProtection="true">
      <alignment horizontal="left" vertical="top" textRotation="0" wrapText="tru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1.png"/><Relationship Id="rId10" Type="http://schemas.openxmlformats.org/officeDocument/2006/relationships/image" Target="../media/image1.png"/><Relationship Id="rId11" Type="http://schemas.openxmlformats.org/officeDocument/2006/relationships/image" Target="../media/image1.png"/><Relationship Id="rId12" Type="http://schemas.openxmlformats.org/officeDocument/2006/relationships/image" Target="../media/image1.png"/><Relationship Id="rId13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424440</xdr:colOff>
      <xdr:row>39</xdr:row>
      <xdr:rowOff>416160</xdr:rowOff>
    </xdr:from>
    <xdr:to>
      <xdr:col>23</xdr:col>
      <xdr:colOff>72000</xdr:colOff>
      <xdr:row>43</xdr:row>
      <xdr:rowOff>155160</xdr:rowOff>
    </xdr:to>
    <xdr:pic>
      <xdr:nvPicPr>
        <xdr:cNvPr id="0" name="Grafik 1" descr=""/>
        <xdr:cNvPicPr/>
      </xdr:nvPicPr>
      <xdr:blipFill>
        <a:blip r:embed="rId1"/>
        <a:stretch/>
      </xdr:blipFill>
      <xdr:spPr>
        <a:xfrm>
          <a:off x="19819080" y="11914920"/>
          <a:ext cx="3714120" cy="758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80</xdr:row>
      <xdr:rowOff>96480</xdr:rowOff>
    </xdr:from>
    <xdr:to>
      <xdr:col>22</xdr:col>
      <xdr:colOff>47160</xdr:colOff>
      <xdr:row>81</xdr:row>
      <xdr:rowOff>366120</xdr:rowOff>
    </xdr:to>
    <xdr:pic>
      <xdr:nvPicPr>
        <xdr:cNvPr id="1" name="Grafik 28" descr=""/>
        <xdr:cNvPicPr/>
      </xdr:nvPicPr>
      <xdr:blipFill>
        <a:blip r:embed="rId2"/>
        <a:stretch/>
      </xdr:blipFill>
      <xdr:spPr>
        <a:xfrm>
          <a:off x="19819080" y="228020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119</xdr:row>
      <xdr:rowOff>225000</xdr:rowOff>
    </xdr:from>
    <xdr:to>
      <xdr:col>22</xdr:col>
      <xdr:colOff>47160</xdr:colOff>
      <xdr:row>122</xdr:row>
      <xdr:rowOff>6840</xdr:rowOff>
    </xdr:to>
    <xdr:pic>
      <xdr:nvPicPr>
        <xdr:cNvPr id="2" name="Grafik 29" descr=""/>
        <xdr:cNvPicPr/>
      </xdr:nvPicPr>
      <xdr:blipFill>
        <a:blip r:embed="rId3"/>
        <a:stretch/>
      </xdr:blipFill>
      <xdr:spPr>
        <a:xfrm>
          <a:off x="19819080" y="342986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164</xdr:row>
      <xdr:rowOff>36720</xdr:rowOff>
    </xdr:from>
    <xdr:to>
      <xdr:col>22</xdr:col>
      <xdr:colOff>47160</xdr:colOff>
      <xdr:row>165</xdr:row>
      <xdr:rowOff>637560</xdr:rowOff>
    </xdr:to>
    <xdr:pic>
      <xdr:nvPicPr>
        <xdr:cNvPr id="3" name="Grafik 30" descr=""/>
        <xdr:cNvPicPr/>
      </xdr:nvPicPr>
      <xdr:blipFill>
        <a:blip r:embed="rId4"/>
        <a:stretch/>
      </xdr:blipFill>
      <xdr:spPr>
        <a:xfrm>
          <a:off x="19819080" y="477194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204</xdr:row>
      <xdr:rowOff>245880</xdr:rowOff>
    </xdr:from>
    <xdr:to>
      <xdr:col>22</xdr:col>
      <xdr:colOff>47160</xdr:colOff>
      <xdr:row>208</xdr:row>
      <xdr:rowOff>8640</xdr:rowOff>
    </xdr:to>
    <xdr:pic>
      <xdr:nvPicPr>
        <xdr:cNvPr id="4" name="Grafik 31" descr=""/>
        <xdr:cNvPicPr/>
      </xdr:nvPicPr>
      <xdr:blipFill>
        <a:blip r:embed="rId5"/>
        <a:stretch/>
      </xdr:blipFill>
      <xdr:spPr>
        <a:xfrm>
          <a:off x="19819080" y="5972076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239</xdr:row>
      <xdr:rowOff>137520</xdr:rowOff>
    </xdr:from>
    <xdr:to>
      <xdr:col>22</xdr:col>
      <xdr:colOff>47160</xdr:colOff>
      <xdr:row>244</xdr:row>
      <xdr:rowOff>52200</xdr:rowOff>
    </xdr:to>
    <xdr:pic>
      <xdr:nvPicPr>
        <xdr:cNvPr id="5" name="Grafik 32" descr=""/>
        <xdr:cNvPicPr/>
      </xdr:nvPicPr>
      <xdr:blipFill>
        <a:blip r:embed="rId6"/>
        <a:stretch/>
      </xdr:blipFill>
      <xdr:spPr>
        <a:xfrm>
          <a:off x="19819080" y="668930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282</xdr:row>
      <xdr:rowOff>102960</xdr:rowOff>
    </xdr:from>
    <xdr:to>
      <xdr:col>22</xdr:col>
      <xdr:colOff>47160</xdr:colOff>
      <xdr:row>286</xdr:row>
      <xdr:rowOff>174240</xdr:rowOff>
    </xdr:to>
    <xdr:pic>
      <xdr:nvPicPr>
        <xdr:cNvPr id="6" name="Grafik 61" descr=""/>
        <xdr:cNvPicPr/>
      </xdr:nvPicPr>
      <xdr:blipFill>
        <a:blip r:embed="rId7"/>
        <a:stretch/>
      </xdr:blipFill>
      <xdr:spPr>
        <a:xfrm>
          <a:off x="19819080" y="7429392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325</xdr:row>
      <xdr:rowOff>0</xdr:rowOff>
    </xdr:from>
    <xdr:to>
      <xdr:col>22</xdr:col>
      <xdr:colOff>47160</xdr:colOff>
      <xdr:row>329</xdr:row>
      <xdr:rowOff>71280</xdr:rowOff>
    </xdr:to>
    <xdr:pic>
      <xdr:nvPicPr>
        <xdr:cNvPr id="7" name="Grafik 62" descr=""/>
        <xdr:cNvPicPr/>
      </xdr:nvPicPr>
      <xdr:blipFill>
        <a:blip r:embed="rId8"/>
        <a:stretch/>
      </xdr:blipFill>
      <xdr:spPr>
        <a:xfrm>
          <a:off x="19819080" y="8169480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367</xdr:row>
      <xdr:rowOff>72720</xdr:rowOff>
    </xdr:from>
    <xdr:to>
      <xdr:col>22</xdr:col>
      <xdr:colOff>47160</xdr:colOff>
      <xdr:row>371</xdr:row>
      <xdr:rowOff>144000</xdr:rowOff>
    </xdr:to>
    <xdr:pic>
      <xdr:nvPicPr>
        <xdr:cNvPr id="8" name="Grafik 63" descr=""/>
        <xdr:cNvPicPr/>
      </xdr:nvPicPr>
      <xdr:blipFill>
        <a:blip r:embed="rId9"/>
        <a:stretch/>
      </xdr:blipFill>
      <xdr:spPr>
        <a:xfrm>
          <a:off x="19819080" y="8909604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409</xdr:row>
      <xdr:rowOff>145080</xdr:rowOff>
    </xdr:from>
    <xdr:to>
      <xdr:col>22</xdr:col>
      <xdr:colOff>47160</xdr:colOff>
      <xdr:row>414</xdr:row>
      <xdr:rowOff>41040</xdr:rowOff>
    </xdr:to>
    <xdr:pic>
      <xdr:nvPicPr>
        <xdr:cNvPr id="9" name="Grafik 64" descr=""/>
        <xdr:cNvPicPr/>
      </xdr:nvPicPr>
      <xdr:blipFill>
        <a:blip r:embed="rId10"/>
        <a:stretch/>
      </xdr:blipFill>
      <xdr:spPr>
        <a:xfrm>
          <a:off x="19819080" y="9649692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452</xdr:row>
      <xdr:rowOff>42120</xdr:rowOff>
    </xdr:from>
    <xdr:to>
      <xdr:col>22</xdr:col>
      <xdr:colOff>47160</xdr:colOff>
      <xdr:row>456</xdr:row>
      <xdr:rowOff>113400</xdr:rowOff>
    </xdr:to>
    <xdr:pic>
      <xdr:nvPicPr>
        <xdr:cNvPr id="10" name="Grafik 65" descr=""/>
        <xdr:cNvPicPr/>
      </xdr:nvPicPr>
      <xdr:blipFill>
        <a:blip r:embed="rId11"/>
        <a:stretch/>
      </xdr:blipFill>
      <xdr:spPr>
        <a:xfrm>
          <a:off x="19819080" y="10389780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494</xdr:row>
      <xdr:rowOff>114480</xdr:rowOff>
    </xdr:from>
    <xdr:to>
      <xdr:col>22</xdr:col>
      <xdr:colOff>47160</xdr:colOff>
      <xdr:row>499</xdr:row>
      <xdr:rowOff>10440</xdr:rowOff>
    </xdr:to>
    <xdr:pic>
      <xdr:nvPicPr>
        <xdr:cNvPr id="11" name="Grafik 66" descr=""/>
        <xdr:cNvPicPr/>
      </xdr:nvPicPr>
      <xdr:blipFill>
        <a:blip r:embed="rId12"/>
        <a:stretch/>
      </xdr:blipFill>
      <xdr:spPr>
        <a:xfrm>
          <a:off x="19819080" y="11129868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19</xdr:col>
      <xdr:colOff>424440</xdr:colOff>
      <xdr:row>537</xdr:row>
      <xdr:rowOff>11880</xdr:rowOff>
    </xdr:from>
    <xdr:to>
      <xdr:col>22</xdr:col>
      <xdr:colOff>47160</xdr:colOff>
      <xdr:row>541</xdr:row>
      <xdr:rowOff>82800</xdr:rowOff>
    </xdr:to>
    <xdr:pic>
      <xdr:nvPicPr>
        <xdr:cNvPr id="12" name="Grafik 67" descr=""/>
        <xdr:cNvPicPr/>
      </xdr:nvPicPr>
      <xdr:blipFill>
        <a:blip r:embed="rId13"/>
        <a:stretch/>
      </xdr:blipFill>
      <xdr:spPr>
        <a:xfrm>
          <a:off x="19819080" y="118699560"/>
          <a:ext cx="2672640" cy="772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houcine1.hassine@hs-regensburg.de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8"/>
  <sheetViews>
    <sheetView showFormulas="false" showGridLines="true" showRowColHeaders="true" showZeros="true" rightToLeft="false" tabSelected="false" showOutlineSymbols="true" defaultGridColor="true" view="pageBreakPreview" topLeftCell="A1" colorId="64" zoomScale="140" zoomScaleNormal="100" zoomScalePageLayoutView="140" workbookViewId="0">
      <selection pane="topLeft" activeCell="J34" activeCellId="0" sqref="J34"/>
    </sheetView>
  </sheetViews>
  <sheetFormatPr defaultColWidth="11.4375" defaultRowHeight="13.5" zeroHeight="false" outlineLevelRow="0" outlineLevelCol="0"/>
  <cols>
    <col collapsed="false" customWidth="true" hidden="false" outlineLevel="0" max="1" min="1" style="1" width="3.36"/>
    <col collapsed="false" customWidth="true" hidden="false" outlineLevel="0" max="2" min="2" style="1" width="4.04"/>
    <col collapsed="false" customWidth="true" hidden="false" outlineLevel="0" max="3" min="3" style="1" width="4.84"/>
    <col collapsed="false" customWidth="false" hidden="false" outlineLevel="0" max="8" min="4" style="1" width="11.44"/>
    <col collapsed="false" customWidth="true" hidden="false" outlineLevel="0" max="9" min="9" style="1" width="4.43"/>
    <col collapsed="false" customWidth="true" hidden="false" outlineLevel="0" max="10" min="10" style="1" width="53.14"/>
    <col collapsed="false" customWidth="true" hidden="false" outlineLevel="0" max="11" min="11" style="1" width="19.37"/>
    <col collapsed="false" customWidth="false" hidden="false" outlineLevel="0" max="16384" min="12" style="1" width="11.44"/>
  </cols>
  <sheetData>
    <row r="1" customFormat="false" ht="20.25" hidden="false" customHeight="true" outlineLevel="0" collapsed="false">
      <c r="A1" s="2"/>
      <c r="B1" s="3" t="s">
        <v>0</v>
      </c>
      <c r="C1" s="2"/>
      <c r="D1" s="2"/>
      <c r="E1" s="2"/>
      <c r="F1" s="2"/>
      <c r="G1" s="2"/>
      <c r="H1" s="2"/>
      <c r="I1" s="2"/>
      <c r="J1" s="2"/>
      <c r="K1" s="2"/>
    </row>
    <row r="2" customFormat="false" ht="13.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3.5" hidden="false" customHeight="false" outlineLevel="0" collapsed="false">
      <c r="A3" s="2"/>
      <c r="B3" s="4" t="s">
        <v>1</v>
      </c>
      <c r="C3" s="4"/>
      <c r="D3" s="2"/>
      <c r="E3" s="2"/>
      <c r="F3" s="2"/>
      <c r="G3" s="2"/>
      <c r="H3" s="2"/>
      <c r="I3" s="2"/>
      <c r="J3" s="2"/>
      <c r="K3" s="2"/>
    </row>
    <row r="4" customFormat="false" ht="3.7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customFormat="false" ht="13.5" hidden="false" customHeight="true" outlineLevel="0" collapsed="false">
      <c r="A5" s="2"/>
      <c r="B5" s="2"/>
      <c r="C5" s="5" t="s">
        <v>2</v>
      </c>
      <c r="D5" s="5"/>
      <c r="E5" s="5"/>
      <c r="F5" s="5"/>
      <c r="G5" s="5"/>
      <c r="H5" s="5"/>
      <c r="I5" s="5"/>
      <c r="J5" s="5"/>
      <c r="K5" s="5"/>
    </row>
    <row r="6" customFormat="false" ht="13.5" hidden="false" customHeight="fals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customFormat="false" ht="13.5" hidden="false" customHeight="false" outlineLevel="0" collapsed="false">
      <c r="A7" s="2"/>
      <c r="B7" s="4" t="s">
        <v>3</v>
      </c>
      <c r="C7" s="2"/>
      <c r="D7" s="2"/>
      <c r="E7" s="2"/>
      <c r="F7" s="2"/>
      <c r="G7" s="2"/>
      <c r="H7" s="2"/>
      <c r="I7" s="2"/>
      <c r="J7" s="2"/>
      <c r="K7" s="2"/>
    </row>
    <row r="8" customFormat="false" ht="4.5" hidden="false" customHeight="tru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35.25" hidden="false" customHeight="true" outlineLevel="0" collapsed="false">
      <c r="A9" s="2"/>
      <c r="B9" s="2"/>
      <c r="C9" s="5" t="s">
        <v>4</v>
      </c>
      <c r="D9" s="5"/>
      <c r="E9" s="5"/>
      <c r="F9" s="5"/>
      <c r="G9" s="5"/>
      <c r="H9" s="5"/>
      <c r="I9" s="5"/>
      <c r="J9" s="5"/>
      <c r="K9" s="5"/>
    </row>
    <row r="10" customFormat="false" ht="13.5" hidden="false" customHeight="false" outlineLevel="0" collapsed="false">
      <c r="A10" s="2"/>
      <c r="B10" s="2"/>
      <c r="C10" s="2"/>
      <c r="D10" s="6" t="s">
        <v>5</v>
      </c>
      <c r="E10" s="6"/>
      <c r="F10" s="6"/>
      <c r="G10" s="6"/>
      <c r="H10" s="6"/>
      <c r="I10" s="6"/>
      <c r="J10" s="6"/>
      <c r="K10" s="6"/>
    </row>
    <row r="11" customFormat="false" ht="13.5" hidden="false" customHeight="false" outlineLevel="0" collapsed="false">
      <c r="A11" s="2"/>
      <c r="B11" s="2"/>
      <c r="C11" s="2"/>
      <c r="D11" s="6" t="s">
        <v>6</v>
      </c>
      <c r="E11" s="6"/>
      <c r="F11" s="6"/>
      <c r="G11" s="6"/>
      <c r="H11" s="6"/>
      <c r="I11" s="6"/>
      <c r="J11" s="6"/>
      <c r="K11" s="6"/>
    </row>
    <row r="12" customFormat="false" ht="13.5" hidden="false" customHeight="false" outlineLevel="0" collapsed="false">
      <c r="A12" s="2"/>
      <c r="B12" s="2"/>
      <c r="C12" s="2"/>
      <c r="D12" s="6" t="s">
        <v>7</v>
      </c>
      <c r="E12" s="6"/>
      <c r="F12" s="6"/>
      <c r="G12" s="6"/>
      <c r="H12" s="6"/>
      <c r="I12" s="6"/>
      <c r="J12" s="6"/>
      <c r="K12" s="6"/>
    </row>
    <row r="13" customFormat="false" ht="13.5" hidden="false" customHeight="false" outlineLevel="0" collapsed="false">
      <c r="A13" s="2"/>
      <c r="B13" s="2"/>
      <c r="C13" s="2"/>
      <c r="D13" s="6" t="s">
        <v>8</v>
      </c>
      <c r="E13" s="6"/>
      <c r="F13" s="6"/>
      <c r="G13" s="6"/>
      <c r="H13" s="6"/>
      <c r="I13" s="6"/>
      <c r="J13" s="6"/>
      <c r="K13" s="6"/>
    </row>
    <row r="14" customFormat="false" ht="13.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13.5" hidden="false" customHeight="false" outlineLevel="0" collapsed="false">
      <c r="A15" s="2"/>
      <c r="B15" s="4" t="s">
        <v>9</v>
      </c>
      <c r="C15" s="2"/>
      <c r="D15" s="2"/>
      <c r="E15" s="2"/>
      <c r="F15" s="2"/>
      <c r="G15" s="2"/>
      <c r="H15" s="2"/>
      <c r="I15" s="2"/>
      <c r="J15" s="2"/>
      <c r="K15" s="2"/>
    </row>
    <row r="16" customFormat="false" ht="2.25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customFormat="false" ht="26.85" hidden="false" customHeight="true" outlineLevel="0" collapsed="false">
      <c r="A17" s="2"/>
      <c r="B17" s="2"/>
      <c r="C17" s="5" t="s">
        <v>10</v>
      </c>
      <c r="D17" s="5"/>
      <c r="E17" s="5"/>
      <c r="F17" s="5"/>
      <c r="G17" s="5"/>
      <c r="H17" s="5"/>
      <c r="I17" s="5"/>
      <c r="J17" s="5"/>
      <c r="K17" s="5"/>
    </row>
    <row r="18" customFormat="false" ht="13.5" hidden="false" customHeight="false" outlineLevel="0" collapsed="false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customFormat="false" ht="13.5" hidden="false" customHeight="false" outlineLevel="0" collapsed="false">
      <c r="A19" s="2"/>
      <c r="B19" s="4" t="s">
        <v>11</v>
      </c>
      <c r="C19" s="2"/>
      <c r="D19" s="2"/>
      <c r="E19" s="2"/>
      <c r="F19" s="2"/>
      <c r="G19" s="2"/>
      <c r="H19" s="2"/>
      <c r="I19" s="2"/>
      <c r="J19" s="2"/>
      <c r="K19" s="2"/>
    </row>
    <row r="20" customFormat="false" ht="5.25" hidden="false" customHeight="tru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customFormat="false" ht="13.5" hidden="false" customHeight="true" outlineLevel="0" collapsed="false">
      <c r="A21" s="2"/>
      <c r="B21" s="2"/>
      <c r="C21" s="5" t="s">
        <v>12</v>
      </c>
      <c r="D21" s="5"/>
      <c r="E21" s="5"/>
      <c r="F21" s="5"/>
      <c r="G21" s="5"/>
      <c r="H21" s="5"/>
      <c r="I21" s="5"/>
      <c r="J21" s="5"/>
      <c r="K21" s="5"/>
    </row>
    <row r="22" customFormat="false" ht="13.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3.5" hidden="false" customHeight="false" outlineLevel="0" collapsed="false">
      <c r="A23" s="2"/>
      <c r="B23" s="4" t="s">
        <v>13</v>
      </c>
      <c r="C23" s="2"/>
      <c r="D23" s="2"/>
      <c r="E23" s="2"/>
      <c r="F23" s="2"/>
      <c r="G23" s="2"/>
      <c r="H23" s="2"/>
      <c r="I23" s="2"/>
      <c r="J23" s="2"/>
      <c r="K23" s="2"/>
    </row>
    <row r="24" customFormat="false" ht="5.25" hidden="false" customHeight="tru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customFormat="false" ht="26.85" hidden="false" customHeight="true" outlineLevel="0" collapsed="false">
      <c r="A25" s="2"/>
      <c r="B25" s="2"/>
      <c r="C25" s="5" t="s">
        <v>14</v>
      </c>
      <c r="D25" s="5"/>
      <c r="E25" s="5"/>
      <c r="F25" s="5"/>
      <c r="G25" s="5"/>
      <c r="H25" s="5"/>
      <c r="I25" s="5"/>
      <c r="J25" s="5"/>
      <c r="K25" s="5"/>
    </row>
    <row r="26" customFormat="false" ht="13.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customFormat="false" ht="13.5" hidden="false" customHeight="false" outlineLevel="0" collapsed="false">
      <c r="A27" s="2"/>
      <c r="B27" s="4" t="s">
        <v>15</v>
      </c>
      <c r="C27" s="2"/>
      <c r="D27" s="2"/>
      <c r="E27" s="2"/>
      <c r="F27" s="2"/>
      <c r="G27" s="2"/>
      <c r="H27" s="2"/>
      <c r="I27" s="2"/>
      <c r="J27" s="2"/>
      <c r="K27" s="2"/>
    </row>
    <row r="28" customFormat="false" ht="3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customFormat="false" ht="13.5" hidden="false" customHeight="true" outlineLevel="0" collapsed="false">
      <c r="A29" s="2"/>
      <c r="B29" s="2"/>
      <c r="C29" s="5" t="s">
        <v>16</v>
      </c>
      <c r="D29" s="5"/>
      <c r="E29" s="5"/>
      <c r="F29" s="5"/>
      <c r="G29" s="5"/>
      <c r="H29" s="5"/>
      <c r="I29" s="5"/>
      <c r="J29" s="5"/>
      <c r="K29" s="5"/>
    </row>
    <row r="30" customFormat="false" ht="13.5" hidden="false" customHeight="false" outlineLevel="0" collapsed="false">
      <c r="A30" s="2"/>
      <c r="B30" s="2"/>
      <c r="C30" s="2"/>
      <c r="D30" s="7" t="s">
        <v>17</v>
      </c>
      <c r="E30" s="7"/>
      <c r="F30" s="7"/>
      <c r="G30" s="7"/>
      <c r="H30" s="7"/>
      <c r="I30" s="2" t="s">
        <v>18</v>
      </c>
      <c r="J30" s="2" t="s">
        <v>19</v>
      </c>
      <c r="K30" s="2"/>
    </row>
    <row r="31" customFormat="false" ht="13.5" hidden="false" customHeight="false" outlineLevel="0" collapsed="false">
      <c r="A31" s="2"/>
      <c r="B31" s="2"/>
      <c r="C31" s="2"/>
      <c r="D31" s="7" t="s">
        <v>20</v>
      </c>
      <c r="E31" s="7"/>
      <c r="F31" s="7"/>
      <c r="G31" s="7"/>
      <c r="H31" s="7"/>
      <c r="I31" s="2" t="s">
        <v>18</v>
      </c>
      <c r="J31" s="2" t="s">
        <v>21</v>
      </c>
      <c r="K31" s="2"/>
    </row>
    <row r="32" customFormat="false" ht="13.5" hidden="false" customHeight="false" outlineLevel="0" collapsed="false">
      <c r="A32" s="2"/>
      <c r="B32" s="2"/>
      <c r="C32" s="2"/>
      <c r="D32" s="7" t="s">
        <v>22</v>
      </c>
      <c r="E32" s="7"/>
      <c r="F32" s="7"/>
      <c r="G32" s="7"/>
      <c r="H32" s="7"/>
      <c r="I32" s="2" t="s">
        <v>18</v>
      </c>
      <c r="J32" s="2" t="s">
        <v>23</v>
      </c>
      <c r="K32" s="2"/>
    </row>
    <row r="33" customFormat="false" ht="13.5" hidden="false" customHeight="false" outlineLevel="0" collapsed="false">
      <c r="A33" s="2"/>
      <c r="B33" s="2"/>
      <c r="C33" s="2"/>
      <c r="D33" s="7" t="s">
        <v>24</v>
      </c>
      <c r="E33" s="7"/>
      <c r="F33" s="7"/>
      <c r="G33" s="7"/>
      <c r="H33" s="7"/>
      <c r="I33" s="2" t="s">
        <v>18</v>
      </c>
      <c r="J33" s="2" t="s">
        <v>25</v>
      </c>
      <c r="K33" s="2"/>
    </row>
    <row r="34" customFormat="false" ht="13.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customFormat="false" ht="13.5" hidden="false" customHeight="false" outlineLevel="0" collapsed="false">
      <c r="A35" s="2"/>
      <c r="B35" s="2"/>
      <c r="C35" s="2"/>
      <c r="D35" s="7" t="s">
        <v>26</v>
      </c>
      <c r="E35" s="7"/>
      <c r="F35" s="7"/>
      <c r="G35" s="7"/>
      <c r="H35" s="7"/>
      <c r="I35" s="2"/>
      <c r="J35" s="2"/>
      <c r="K35" s="2"/>
    </row>
    <row r="36" customFormat="false" ht="13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customFormat="false" ht="13.5" hidden="false" customHeight="false" outlineLevel="0" collapsed="false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customFormat="false" ht="13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</sheetData>
  <sheetProtection algorithmName="SHA-512" hashValue="H3zzeaCHGqL3WdePPLLKQW+BJ3lbuOAt62/H95eDA8GKxOUpqr2eke8qXcB6oxUlAF1dNBa4UicNq7oRCNF5UQ==" saltValue="FZEAQnQ5D2ixNdi3AIGsxg==" spinCount="100000" sheet="true" objects="true" scenarios="true" formatCells="false" formatColumns="false" formatRows="false" insertColumns="false" insertRows="false" insertHyperlinks="false" deleteColumns="false" deleteRows="false" selectLockedCells="true" sort="false" autoFilter="false" pivotTables="false"/>
  <mergeCells count="15">
    <mergeCell ref="C5:K5"/>
    <mergeCell ref="C9:K9"/>
    <mergeCell ref="D10:K10"/>
    <mergeCell ref="D11:K11"/>
    <mergeCell ref="D12:K12"/>
    <mergeCell ref="D13:K13"/>
    <mergeCell ref="C17:K17"/>
    <mergeCell ref="C21:K21"/>
    <mergeCell ref="C25:K25"/>
    <mergeCell ref="C29:K29"/>
    <mergeCell ref="D30:H30"/>
    <mergeCell ref="D31:H31"/>
    <mergeCell ref="D32:H32"/>
    <mergeCell ref="D33:H33"/>
    <mergeCell ref="D35:H35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63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8"/>
  <sheetViews>
    <sheetView showFormulas="false" showGridLines="true" showRowColHeaders="true" showZeros="true" rightToLeft="false" tabSelected="false" showOutlineSymbols="true" defaultGridColor="true" view="pageBreakPreview" topLeftCell="A7" colorId="64" zoomScale="145" zoomScaleNormal="175" zoomScalePageLayoutView="145" workbookViewId="0">
      <selection pane="topLeft" activeCell="B26" activeCellId="0" sqref="B26"/>
    </sheetView>
  </sheetViews>
  <sheetFormatPr defaultColWidth="7.40234375" defaultRowHeight="13.5" zeroHeight="false" outlineLevelRow="0" outlineLevelCol="0"/>
  <cols>
    <col collapsed="false" customWidth="true" hidden="false" outlineLevel="0" max="1" min="1" style="1" width="2.42"/>
    <col collapsed="false" customWidth="false" hidden="false" outlineLevel="0" max="3" min="2" style="1" width="7.4"/>
    <col collapsed="false" customWidth="true" hidden="false" outlineLevel="0" max="4" min="4" style="1" width="11.3"/>
    <col collapsed="false" customWidth="false" hidden="false" outlineLevel="0" max="16384" min="5" style="1" width="7.4"/>
  </cols>
  <sheetData>
    <row r="1" customFormat="false" ht="13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3.5" hidden="false" customHeight="false" outlineLevel="0" collapsed="false">
      <c r="A2" s="2"/>
      <c r="B2" s="8" t="s">
        <v>27</v>
      </c>
      <c r="C2" s="8"/>
      <c r="D2" s="8"/>
      <c r="E2" s="8"/>
      <c r="F2" s="8"/>
      <c r="G2" s="8"/>
      <c r="H2" s="2"/>
      <c r="I2" s="2"/>
      <c r="J2" s="2"/>
      <c r="K2" s="2"/>
      <c r="L2" s="2"/>
      <c r="M2" s="2"/>
      <c r="N2" s="2"/>
      <c r="O2" s="2"/>
    </row>
    <row r="3" customFormat="false" ht="8.25" hidden="false" customHeight="true" outlineLevel="0" collapsed="false">
      <c r="A3" s="2"/>
      <c r="B3" s="9" t="s">
        <v>28</v>
      </c>
      <c r="C3" s="9"/>
      <c r="D3" s="9"/>
      <c r="E3" s="9"/>
      <c r="F3" s="9"/>
      <c r="G3" s="9"/>
      <c r="H3" s="2"/>
      <c r="I3" s="2"/>
      <c r="J3" s="2"/>
      <c r="K3" s="2"/>
      <c r="L3" s="2"/>
      <c r="M3" s="2"/>
      <c r="N3" s="2"/>
      <c r="O3" s="2"/>
    </row>
    <row r="4" customFormat="false" ht="8.25" hidden="false" customHeight="tru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customFormat="false" ht="13.5" hidden="false" customHeight="false" outlineLevel="0" collapsed="false">
      <c r="A5" s="2"/>
      <c r="B5" s="8" t="s">
        <v>29</v>
      </c>
      <c r="C5" s="8"/>
      <c r="D5" s="8"/>
      <c r="E5" s="8"/>
      <c r="F5" s="8"/>
      <c r="G5" s="8"/>
      <c r="H5" s="10"/>
      <c r="I5" s="8" t="s">
        <v>30</v>
      </c>
      <c r="J5" s="8"/>
      <c r="K5" s="8"/>
      <c r="L5" s="8"/>
      <c r="M5" s="8"/>
      <c r="N5" s="8"/>
      <c r="O5" s="2"/>
    </row>
    <row r="6" customFormat="false" ht="7.5" hidden="false" customHeight="true" outlineLevel="0" collapsed="false">
      <c r="A6" s="2"/>
      <c r="B6" s="9" t="s">
        <v>31</v>
      </c>
      <c r="C6" s="9"/>
      <c r="D6" s="9"/>
      <c r="E6" s="9"/>
      <c r="F6" s="9"/>
      <c r="G6" s="9"/>
      <c r="H6" s="9"/>
      <c r="I6" s="9" t="s">
        <v>32</v>
      </c>
      <c r="J6" s="10"/>
      <c r="K6" s="10"/>
      <c r="L6" s="10"/>
      <c r="M6" s="10"/>
      <c r="N6" s="10"/>
      <c r="O6" s="2"/>
    </row>
    <row r="7" customFormat="false" ht="7.5" hidden="false" customHeight="true" outlineLevel="0" collapsed="false">
      <c r="A7" s="2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2"/>
    </row>
    <row r="8" customFormat="false" ht="13.5" hidden="false" customHeight="false" outlineLevel="0" collapsed="false">
      <c r="A8" s="2"/>
      <c r="B8" s="8" t="s">
        <v>33</v>
      </c>
      <c r="C8" s="8"/>
      <c r="D8" s="8"/>
      <c r="E8" s="8"/>
      <c r="F8" s="8"/>
      <c r="G8" s="8"/>
      <c r="H8" s="10"/>
      <c r="I8" s="8" t="s">
        <v>27</v>
      </c>
      <c r="J8" s="8"/>
      <c r="K8" s="8"/>
      <c r="L8" s="8"/>
      <c r="M8" s="8"/>
      <c r="N8" s="8"/>
      <c r="O8" s="2"/>
    </row>
    <row r="9" customFormat="false" ht="7.5" hidden="false" customHeight="true" outlineLevel="0" collapsed="false">
      <c r="A9" s="2"/>
      <c r="B9" s="9" t="s">
        <v>34</v>
      </c>
      <c r="C9" s="9"/>
      <c r="D9" s="9"/>
      <c r="E9" s="9"/>
      <c r="F9" s="9"/>
      <c r="G9" s="9"/>
      <c r="H9" s="9"/>
      <c r="I9" s="9" t="s">
        <v>35</v>
      </c>
      <c r="J9" s="10"/>
      <c r="K9" s="10"/>
      <c r="L9" s="10"/>
      <c r="M9" s="10"/>
      <c r="N9" s="10"/>
      <c r="O9" s="2"/>
    </row>
    <row r="10" customFormat="false" ht="7.5" hidden="false" customHeight="true" outlineLevel="0" collapsed="false">
      <c r="A10" s="2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2"/>
    </row>
    <row r="11" customFormat="false" ht="13.5" hidden="false" customHeight="false" outlineLevel="0" collapsed="false">
      <c r="A11" s="2"/>
      <c r="B11" s="8" t="s">
        <v>36</v>
      </c>
      <c r="C11" s="8"/>
      <c r="D11" s="8"/>
      <c r="E11" s="8"/>
      <c r="F11" s="8"/>
      <c r="G11" s="8"/>
      <c r="H11" s="10"/>
      <c r="I11" s="8" t="s">
        <v>37</v>
      </c>
      <c r="J11" s="8"/>
      <c r="K11" s="8"/>
      <c r="L11" s="8"/>
      <c r="M11" s="8"/>
      <c r="N11" s="8"/>
      <c r="O11" s="2"/>
    </row>
    <row r="12" customFormat="false" ht="7.5" hidden="false" customHeight="true" outlineLevel="0" collapsed="false">
      <c r="A12" s="2"/>
      <c r="B12" s="9" t="s">
        <v>38</v>
      </c>
      <c r="C12" s="9"/>
      <c r="D12" s="9"/>
      <c r="E12" s="9"/>
      <c r="F12" s="9"/>
      <c r="G12" s="9"/>
      <c r="H12" s="9"/>
      <c r="I12" s="9" t="s">
        <v>39</v>
      </c>
      <c r="J12" s="9"/>
      <c r="K12" s="9"/>
      <c r="L12" s="9"/>
      <c r="M12" s="9"/>
      <c r="N12" s="9"/>
      <c r="O12" s="2"/>
    </row>
    <row r="13" customFormat="false" ht="6.75" hidden="false" customHeight="true" outlineLevel="0" collapsed="false">
      <c r="A13" s="2"/>
      <c r="B13" s="10"/>
      <c r="C13" s="10"/>
      <c r="D13" s="10"/>
      <c r="E13" s="10"/>
      <c r="F13" s="10"/>
      <c r="G13" s="10"/>
      <c r="H13" s="10"/>
      <c r="I13" s="2"/>
      <c r="J13" s="2"/>
      <c r="K13" s="2"/>
      <c r="L13" s="2"/>
      <c r="M13" s="2"/>
      <c r="N13" s="2"/>
      <c r="O13" s="2"/>
    </row>
    <row r="14" customFormat="false" ht="13.5" hidden="false" customHeight="false" outlineLevel="0" collapsed="false">
      <c r="A14" s="2"/>
      <c r="B14" s="8" t="s">
        <v>40</v>
      </c>
      <c r="C14" s="8"/>
      <c r="D14" s="8"/>
      <c r="E14" s="8"/>
      <c r="F14" s="8"/>
      <c r="G14" s="8"/>
      <c r="H14" s="10"/>
      <c r="I14" s="8" t="s">
        <v>41</v>
      </c>
      <c r="J14" s="8"/>
      <c r="K14" s="8"/>
      <c r="L14" s="8"/>
      <c r="M14" s="8"/>
      <c r="N14" s="8"/>
      <c r="O14" s="2"/>
    </row>
    <row r="15" customFormat="false" ht="7.5" hidden="false" customHeight="true" outlineLevel="0" collapsed="false">
      <c r="A15" s="2"/>
      <c r="B15" s="9" t="s">
        <v>42</v>
      </c>
      <c r="C15" s="9"/>
      <c r="D15" s="9"/>
      <c r="E15" s="9"/>
      <c r="F15" s="9"/>
      <c r="G15" s="9"/>
      <c r="H15" s="9"/>
      <c r="I15" s="9" t="s">
        <v>43</v>
      </c>
      <c r="J15" s="9"/>
      <c r="K15" s="9"/>
      <c r="L15" s="9"/>
      <c r="M15" s="9"/>
      <c r="N15" s="9"/>
      <c r="O15" s="2"/>
    </row>
    <row r="16" customFormat="false" ht="7.5" hidden="false" customHeight="true" outlineLevel="0" collapsed="false">
      <c r="A16" s="2"/>
      <c r="B16" s="9"/>
      <c r="C16" s="9"/>
      <c r="D16" s="9"/>
      <c r="E16" s="9"/>
      <c r="F16" s="9"/>
      <c r="G16" s="9"/>
      <c r="H16" s="9"/>
      <c r="I16" s="9"/>
      <c r="J16" s="10"/>
      <c r="K16" s="10"/>
      <c r="L16" s="10"/>
      <c r="M16" s="10"/>
      <c r="N16" s="10"/>
      <c r="O16" s="2"/>
    </row>
    <row r="17" customFormat="false" ht="15" hidden="false" customHeight="true" outlineLevel="0" collapsed="false">
      <c r="A17" s="2"/>
      <c r="B17" s="11" t="s">
        <v>44</v>
      </c>
      <c r="C17" s="11"/>
      <c r="D17" s="11"/>
      <c r="E17" s="11"/>
      <c r="F17" s="11"/>
      <c r="G17" s="11"/>
      <c r="H17" s="9"/>
      <c r="I17" s="8" t="s">
        <v>45</v>
      </c>
      <c r="J17" s="8"/>
      <c r="K17" s="8"/>
      <c r="L17" s="8"/>
      <c r="M17" s="8"/>
      <c r="N17" s="8"/>
      <c r="O17" s="2"/>
    </row>
    <row r="18" customFormat="false" ht="7.5" hidden="false" customHeight="true" outlineLevel="0" collapsed="false">
      <c r="A18" s="2"/>
      <c r="B18" s="9" t="s">
        <v>46</v>
      </c>
      <c r="C18" s="9"/>
      <c r="D18" s="9"/>
      <c r="E18" s="9"/>
      <c r="F18" s="9"/>
      <c r="G18" s="9"/>
      <c r="H18" s="10"/>
      <c r="I18" s="9" t="s">
        <v>47</v>
      </c>
      <c r="J18" s="10"/>
      <c r="K18" s="10"/>
      <c r="L18" s="10"/>
      <c r="M18" s="10"/>
      <c r="N18" s="10"/>
      <c r="O18" s="2"/>
    </row>
    <row r="19" customFormat="false" ht="7.5" hidden="false" customHeight="true" outlineLevel="0" collapsed="false">
      <c r="A19" s="2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2"/>
    </row>
    <row r="20" customFormat="false" ht="15" hidden="false" customHeight="true" outlineLevel="0" collapsed="false">
      <c r="A20" s="2"/>
      <c r="B20" s="12" t="n">
        <v>46083</v>
      </c>
      <c r="C20" s="12"/>
      <c r="D20" s="12"/>
      <c r="E20" s="12"/>
      <c r="F20" s="12"/>
      <c r="G20" s="12"/>
      <c r="H20" s="10"/>
      <c r="I20" s="11" t="s">
        <v>48</v>
      </c>
      <c r="J20" s="11"/>
      <c r="K20" s="11"/>
      <c r="L20" s="11"/>
      <c r="M20" s="11"/>
      <c r="N20" s="11"/>
      <c r="O20" s="2"/>
    </row>
    <row r="21" customFormat="false" ht="7.5" hidden="false" customHeight="true" outlineLevel="0" collapsed="false">
      <c r="A21" s="2"/>
      <c r="B21" s="9" t="s">
        <v>49</v>
      </c>
      <c r="C21" s="9"/>
      <c r="D21" s="9"/>
      <c r="E21" s="9"/>
      <c r="F21" s="9"/>
      <c r="G21" s="9"/>
      <c r="H21" s="10"/>
      <c r="I21" s="9" t="s">
        <v>50</v>
      </c>
      <c r="J21" s="10"/>
      <c r="K21" s="10"/>
      <c r="L21" s="10"/>
      <c r="M21" s="10"/>
      <c r="N21" s="10"/>
      <c r="O21" s="2"/>
    </row>
    <row r="22" customFormat="false" ht="7.5" hidden="false" customHeight="true" outlineLevel="0" collapsed="false">
      <c r="A22" s="2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2"/>
    </row>
    <row r="23" customFormat="false" ht="13.5" hidden="false" customHeight="false" outlineLevel="0" collapsed="false">
      <c r="A23" s="2"/>
      <c r="B23" s="12" t="n">
        <v>46234</v>
      </c>
      <c r="C23" s="12"/>
      <c r="D23" s="12"/>
      <c r="E23" s="12"/>
      <c r="F23" s="12"/>
      <c r="G23" s="12"/>
      <c r="H23" s="10"/>
      <c r="I23" s="8" t="s">
        <v>51</v>
      </c>
      <c r="J23" s="8"/>
      <c r="K23" s="8"/>
      <c r="L23" s="8"/>
      <c r="M23" s="8"/>
      <c r="N23" s="8"/>
      <c r="O23" s="2"/>
    </row>
    <row r="24" customFormat="false" ht="7.5" hidden="false" customHeight="true" outlineLevel="0" collapsed="false">
      <c r="A24" s="2"/>
      <c r="B24" s="9" t="s">
        <v>52</v>
      </c>
      <c r="C24" s="9"/>
      <c r="D24" s="9"/>
      <c r="E24" s="9"/>
      <c r="F24" s="9"/>
      <c r="G24" s="9"/>
      <c r="H24" s="10"/>
      <c r="I24" s="9" t="s">
        <v>53</v>
      </c>
      <c r="J24" s="10"/>
      <c r="K24" s="10"/>
      <c r="L24" s="10"/>
      <c r="M24" s="10"/>
      <c r="N24" s="10"/>
      <c r="O24" s="2"/>
    </row>
    <row r="25" customFormat="false" ht="7.5" hidden="false" customHeight="true" outlineLevel="0" collapsed="false">
      <c r="A25" s="2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2"/>
    </row>
    <row r="26" customFormat="false" ht="13.5" hidden="false" customHeight="false" outlineLevel="0" collapsed="false">
      <c r="A26" s="2"/>
      <c r="B26" s="8" t="s">
        <v>54</v>
      </c>
      <c r="C26" s="10"/>
      <c r="D26" s="10"/>
      <c r="E26" s="10"/>
      <c r="F26" s="10"/>
      <c r="G26" s="10"/>
      <c r="H26" s="10"/>
      <c r="I26" s="8" t="s">
        <v>55</v>
      </c>
      <c r="J26" s="8"/>
      <c r="K26" s="8"/>
      <c r="L26" s="8"/>
      <c r="M26" s="10"/>
      <c r="N26" s="13" t="n">
        <v>20</v>
      </c>
      <c r="O26" s="2"/>
    </row>
    <row r="27" customFormat="false" ht="7.5" hidden="false" customHeight="true" outlineLevel="0" collapsed="false">
      <c r="A27" s="2"/>
      <c r="B27" s="9" t="s">
        <v>56</v>
      </c>
      <c r="C27" s="9"/>
      <c r="D27" s="9"/>
      <c r="E27" s="9"/>
      <c r="F27" s="9"/>
      <c r="G27" s="9"/>
      <c r="H27" s="10"/>
      <c r="I27" s="9" t="s">
        <v>57</v>
      </c>
      <c r="J27" s="10"/>
      <c r="K27" s="10"/>
      <c r="L27" s="10"/>
      <c r="M27" s="10"/>
      <c r="N27" s="9" t="s">
        <v>58</v>
      </c>
      <c r="O27" s="2"/>
    </row>
    <row r="28" customFormat="false" ht="7.5" hidden="false" customHeight="true" outlineLevel="0" collapsed="false">
      <c r="A28" s="2"/>
      <c r="B28" s="9" t="s">
        <v>59</v>
      </c>
      <c r="C28" s="9"/>
      <c r="D28" s="9"/>
      <c r="E28" s="9"/>
      <c r="F28" s="9"/>
      <c r="G28" s="9"/>
      <c r="H28" s="10"/>
      <c r="I28" s="10"/>
      <c r="J28" s="10"/>
      <c r="K28" s="10"/>
      <c r="L28" s="10"/>
      <c r="M28" s="10"/>
      <c r="N28" s="10"/>
      <c r="O28" s="2"/>
    </row>
    <row r="29" customFormat="false" ht="13.5" hidden="false" customHeight="false" outlineLevel="0" collapsed="false">
      <c r="A29" s="2"/>
      <c r="B29" s="9"/>
      <c r="C29" s="9"/>
      <c r="D29" s="9"/>
      <c r="E29" s="9"/>
      <c r="F29" s="9"/>
      <c r="G29" s="9"/>
      <c r="H29" s="10"/>
      <c r="I29" s="8" t="s">
        <v>60</v>
      </c>
      <c r="J29" s="8"/>
      <c r="K29" s="10"/>
      <c r="L29" s="8" t="s">
        <v>61</v>
      </c>
      <c r="M29" s="8"/>
      <c r="N29" s="8"/>
      <c r="O29" s="2"/>
    </row>
    <row r="30" customFormat="false" ht="7.5" hidden="false" customHeight="true" outlineLevel="0" collapsed="false">
      <c r="A30" s="2"/>
      <c r="B30" s="9"/>
      <c r="C30" s="9"/>
      <c r="D30" s="9"/>
      <c r="E30" s="9"/>
      <c r="F30" s="9"/>
      <c r="G30" s="9"/>
      <c r="H30" s="10"/>
      <c r="I30" s="9" t="s">
        <v>62</v>
      </c>
      <c r="J30" s="10"/>
      <c r="K30" s="10"/>
      <c r="L30" s="9" t="s">
        <v>63</v>
      </c>
      <c r="M30" s="10"/>
      <c r="N30" s="10"/>
      <c r="O30" s="2"/>
    </row>
    <row r="31" customFormat="false" ht="7.5" hidden="false" customHeight="true" outlineLevel="0" collapsed="false">
      <c r="A31" s="2"/>
      <c r="B31" s="9"/>
      <c r="C31" s="9"/>
      <c r="D31" s="9"/>
      <c r="E31" s="9"/>
      <c r="F31" s="9"/>
      <c r="G31" s="9"/>
      <c r="H31" s="10"/>
      <c r="I31" s="10"/>
      <c r="J31" s="10"/>
      <c r="K31" s="10"/>
      <c r="L31" s="10"/>
      <c r="M31" s="10"/>
      <c r="N31" s="10"/>
      <c r="O31" s="2"/>
    </row>
    <row r="32" customFormat="false" ht="13.5" hidden="false" customHeight="false" outlineLevel="0" collapsed="false">
      <c r="A32" s="2"/>
      <c r="B32" s="13" t="n">
        <v>38</v>
      </c>
      <c r="C32" s="9" t="s">
        <v>64</v>
      </c>
      <c r="D32" s="2"/>
      <c r="E32" s="9"/>
      <c r="F32" s="9"/>
      <c r="G32" s="9"/>
      <c r="H32" s="10"/>
      <c r="I32" s="8" t="s">
        <v>65</v>
      </c>
      <c r="J32" s="8"/>
      <c r="K32" s="8"/>
      <c r="L32" s="8"/>
      <c r="M32" s="8"/>
      <c r="N32" s="8"/>
      <c r="O32" s="2"/>
    </row>
    <row r="33" customFormat="false" ht="7.5" hidden="false" customHeight="true" outlineLevel="0" collapsed="false">
      <c r="A33" s="2"/>
      <c r="B33" s="9" t="s">
        <v>66</v>
      </c>
      <c r="C33" s="9"/>
      <c r="D33" s="9"/>
      <c r="E33" s="9"/>
      <c r="F33" s="9"/>
      <c r="G33" s="9"/>
      <c r="H33" s="10"/>
      <c r="I33" s="9" t="s">
        <v>67</v>
      </c>
      <c r="J33" s="10"/>
      <c r="K33" s="10"/>
      <c r="L33" s="10"/>
      <c r="M33" s="10"/>
      <c r="N33" s="10"/>
      <c r="O33" s="2"/>
    </row>
    <row r="34" customFormat="false" ht="7.5" hidden="false" customHeight="true" outlineLevel="0" collapsed="false">
      <c r="A34" s="2"/>
      <c r="B34" s="9" t="s">
        <v>68</v>
      </c>
      <c r="C34" s="9"/>
      <c r="D34" s="9"/>
      <c r="E34" s="9"/>
      <c r="F34" s="9"/>
      <c r="G34" s="9"/>
      <c r="H34" s="10"/>
      <c r="I34" s="10"/>
      <c r="J34" s="10"/>
      <c r="K34" s="10"/>
      <c r="L34" s="10"/>
      <c r="M34" s="10"/>
      <c r="N34" s="10"/>
      <c r="O34" s="2"/>
    </row>
    <row r="35" customFormat="false" ht="7.5" hidden="false" customHeight="true" outlineLevel="0" collapsed="false">
      <c r="A35" s="2"/>
      <c r="B35" s="9"/>
      <c r="C35" s="9"/>
      <c r="D35" s="9"/>
      <c r="E35" s="9"/>
      <c r="F35" s="9"/>
      <c r="G35" s="9"/>
      <c r="H35" s="10"/>
      <c r="I35" s="10"/>
      <c r="J35" s="10"/>
      <c r="K35" s="10"/>
      <c r="L35" s="10"/>
      <c r="M35" s="10"/>
      <c r="N35" s="10"/>
      <c r="O35" s="2"/>
    </row>
    <row r="36" customFormat="false" ht="7.5" hidden="false" customHeight="true" outlineLevel="0" collapsed="false">
      <c r="A36" s="2"/>
      <c r="B36" s="9"/>
      <c r="C36" s="9"/>
      <c r="D36" s="9"/>
      <c r="E36" s="9"/>
      <c r="F36" s="9"/>
      <c r="G36" s="9"/>
      <c r="H36" s="10"/>
      <c r="I36" s="10"/>
      <c r="J36" s="10"/>
      <c r="K36" s="10"/>
      <c r="L36" s="10"/>
      <c r="M36" s="10"/>
      <c r="N36" s="10"/>
      <c r="O36" s="2"/>
    </row>
    <row r="37" customFormat="false" ht="14.25" hidden="false" customHeight="true" outlineLevel="0" collapsed="false">
      <c r="A37" s="2"/>
      <c r="B37" s="8" t="s">
        <v>69</v>
      </c>
      <c r="C37" s="8"/>
      <c r="D37" s="8"/>
      <c r="E37" s="8"/>
      <c r="F37" s="8"/>
      <c r="G37" s="8"/>
      <c r="H37" s="10"/>
      <c r="I37" s="8" t="s">
        <v>70</v>
      </c>
      <c r="J37" s="8"/>
      <c r="K37" s="8"/>
      <c r="L37" s="8"/>
      <c r="M37" s="8"/>
      <c r="N37" s="8"/>
      <c r="O37" s="2"/>
    </row>
    <row r="38" customFormat="false" ht="7.5" hidden="false" customHeight="true" outlineLevel="0" collapsed="false">
      <c r="A38" s="2"/>
      <c r="B38" s="9" t="s">
        <v>71</v>
      </c>
      <c r="C38" s="9"/>
      <c r="D38" s="9"/>
      <c r="E38" s="9"/>
      <c r="F38" s="9"/>
      <c r="G38" s="9"/>
      <c r="H38" s="10"/>
      <c r="I38" s="9" t="s">
        <v>72</v>
      </c>
      <c r="J38" s="10"/>
      <c r="K38" s="10"/>
      <c r="L38" s="10"/>
      <c r="M38" s="10"/>
      <c r="N38" s="10"/>
      <c r="O38" s="2"/>
    </row>
    <row r="39" customFormat="false" ht="7.5" hidden="false" customHeight="true" outlineLevel="0" collapsed="false">
      <c r="A39" s="2"/>
      <c r="B39" s="9"/>
      <c r="C39" s="9"/>
      <c r="D39" s="9"/>
      <c r="E39" s="9"/>
      <c r="F39" s="9"/>
      <c r="G39" s="9"/>
      <c r="H39" s="10"/>
      <c r="I39" s="10"/>
      <c r="J39" s="10"/>
      <c r="K39" s="10"/>
      <c r="L39" s="10"/>
      <c r="M39" s="10"/>
      <c r="N39" s="10"/>
      <c r="O39" s="2"/>
    </row>
    <row r="40" customFormat="false" ht="14.25" hidden="false" customHeight="true" outlineLevel="0" collapsed="false">
      <c r="A40" s="2"/>
      <c r="B40" s="8" t="s">
        <v>73</v>
      </c>
      <c r="C40" s="8"/>
      <c r="D40" s="8"/>
      <c r="E40" s="8"/>
      <c r="F40" s="8"/>
      <c r="G40" s="8"/>
      <c r="H40" s="10"/>
      <c r="I40" s="10"/>
      <c r="J40" s="10"/>
      <c r="K40" s="10"/>
      <c r="L40" s="10"/>
      <c r="M40" s="10"/>
      <c r="N40" s="10"/>
      <c r="O40" s="2"/>
    </row>
    <row r="41" customFormat="false" ht="7.5" hidden="false" customHeight="true" outlineLevel="0" collapsed="false">
      <c r="A41" s="2"/>
      <c r="B41" s="9" t="s">
        <v>74</v>
      </c>
      <c r="C41" s="9"/>
      <c r="D41" s="9"/>
      <c r="E41" s="9"/>
      <c r="F41" s="9"/>
      <c r="G41" s="9"/>
      <c r="H41" s="10"/>
      <c r="I41" s="10"/>
      <c r="J41" s="10"/>
      <c r="K41" s="10"/>
      <c r="L41" s="10"/>
      <c r="M41" s="10"/>
      <c r="N41" s="10"/>
      <c r="O41" s="2"/>
    </row>
    <row r="42" customFormat="false" ht="8.25" hidden="false" customHeight="true" outlineLevel="0" collapsed="false">
      <c r="A42" s="2"/>
      <c r="B42" s="9"/>
      <c r="C42" s="9"/>
      <c r="D42" s="9"/>
      <c r="E42" s="9"/>
      <c r="F42" s="9"/>
      <c r="G42" s="9"/>
      <c r="H42" s="10"/>
      <c r="I42" s="10"/>
      <c r="J42" s="10"/>
      <c r="K42" s="10"/>
      <c r="L42" s="10"/>
      <c r="M42" s="10"/>
      <c r="N42" s="10"/>
      <c r="O42" s="2"/>
    </row>
    <row r="43" customFormat="false" ht="14.25" hidden="false" customHeight="true" outlineLevel="0" collapsed="false">
      <c r="A43" s="2"/>
      <c r="B43" s="8" t="s">
        <v>75</v>
      </c>
      <c r="C43" s="8"/>
      <c r="D43" s="8"/>
      <c r="E43" s="8"/>
      <c r="F43" s="8"/>
      <c r="G43" s="8"/>
      <c r="H43" s="10"/>
      <c r="I43" s="10"/>
      <c r="J43" s="10"/>
      <c r="K43" s="10"/>
      <c r="L43" s="10"/>
      <c r="M43" s="10"/>
      <c r="N43" s="10"/>
      <c r="O43" s="2"/>
    </row>
    <row r="44" customFormat="false" ht="7.5" hidden="false" customHeight="true" outlineLevel="0" collapsed="false">
      <c r="A44" s="2"/>
      <c r="B44" s="9" t="s">
        <v>76</v>
      </c>
      <c r="C44" s="9"/>
      <c r="D44" s="9"/>
      <c r="E44" s="9"/>
      <c r="F44" s="9"/>
      <c r="G44" s="9"/>
      <c r="H44" s="10"/>
      <c r="I44" s="10"/>
      <c r="J44" s="10"/>
      <c r="K44" s="10"/>
      <c r="L44" s="10"/>
      <c r="M44" s="10"/>
      <c r="N44" s="10"/>
      <c r="O44" s="2"/>
    </row>
    <row r="45" customFormat="false" ht="7.5" hidden="false" customHeight="true" outlineLevel="0" collapsed="false">
      <c r="A45" s="2"/>
      <c r="B45" s="9"/>
      <c r="C45" s="9"/>
      <c r="D45" s="9"/>
      <c r="E45" s="9"/>
      <c r="F45" s="9"/>
      <c r="G45" s="9"/>
      <c r="H45" s="10"/>
      <c r="I45" s="10"/>
      <c r="J45" s="10"/>
      <c r="K45" s="10"/>
      <c r="L45" s="10"/>
      <c r="M45" s="10"/>
      <c r="N45" s="10"/>
      <c r="O45" s="2"/>
    </row>
    <row r="46" customFormat="false" ht="14.25" hidden="false" customHeight="true" outlineLevel="0" collapsed="false">
      <c r="A46" s="2"/>
      <c r="B46" s="8" t="s">
        <v>77</v>
      </c>
      <c r="C46" s="8"/>
      <c r="D46" s="8"/>
      <c r="E46" s="8"/>
      <c r="F46" s="8"/>
      <c r="G46" s="8"/>
      <c r="H46" s="10"/>
      <c r="I46" s="10"/>
      <c r="J46" s="10"/>
      <c r="K46" s="10"/>
      <c r="L46" s="10"/>
      <c r="M46" s="10"/>
      <c r="N46" s="10"/>
      <c r="O46" s="2"/>
    </row>
    <row r="47" customFormat="false" ht="7.5" hidden="false" customHeight="true" outlineLevel="0" collapsed="false">
      <c r="A47" s="2"/>
      <c r="B47" s="9" t="s">
        <v>78</v>
      </c>
      <c r="C47" s="9"/>
      <c r="D47" s="9"/>
      <c r="E47" s="9"/>
      <c r="F47" s="9"/>
      <c r="G47" s="9"/>
      <c r="H47" s="10"/>
      <c r="I47" s="10"/>
      <c r="J47" s="10"/>
      <c r="K47" s="10"/>
      <c r="L47" s="10"/>
      <c r="M47" s="10"/>
      <c r="N47" s="10"/>
      <c r="O47" s="2"/>
    </row>
    <row r="48" customFormat="false" ht="7.5" hidden="false" customHeight="true" outlineLevel="0" collapsed="false">
      <c r="A48" s="2"/>
      <c r="B48" s="9"/>
      <c r="C48" s="9"/>
      <c r="D48" s="9"/>
      <c r="E48" s="9"/>
      <c r="F48" s="9"/>
      <c r="G48" s="9"/>
      <c r="H48" s="10"/>
      <c r="I48" s="10"/>
      <c r="J48" s="10"/>
      <c r="K48" s="10"/>
      <c r="L48" s="10"/>
      <c r="M48" s="10"/>
      <c r="N48" s="10"/>
      <c r="O48" s="2"/>
    </row>
    <row r="49" customFormat="false" ht="14.25" hidden="false" customHeight="true" outlineLevel="0" collapsed="false">
      <c r="A49" s="2"/>
      <c r="B49" s="8" t="s">
        <v>75</v>
      </c>
      <c r="C49" s="8"/>
      <c r="D49" s="8"/>
      <c r="E49" s="8"/>
      <c r="F49" s="8"/>
      <c r="G49" s="8"/>
      <c r="H49" s="10"/>
      <c r="I49" s="10"/>
      <c r="J49" s="10"/>
      <c r="K49" s="10"/>
      <c r="L49" s="10"/>
      <c r="M49" s="10"/>
      <c r="N49" s="10"/>
      <c r="O49" s="2"/>
    </row>
    <row r="50" customFormat="false" ht="7.5" hidden="false" customHeight="true" outlineLevel="0" collapsed="false">
      <c r="A50" s="2"/>
      <c r="B50" s="9" t="s">
        <v>79</v>
      </c>
      <c r="C50" s="9"/>
      <c r="D50" s="9"/>
      <c r="E50" s="9"/>
      <c r="F50" s="9"/>
      <c r="G50" s="9"/>
      <c r="H50" s="10"/>
      <c r="I50" s="10"/>
      <c r="J50" s="10"/>
      <c r="K50" s="10"/>
      <c r="L50" s="10"/>
      <c r="M50" s="10"/>
      <c r="N50" s="10"/>
      <c r="O50" s="2"/>
    </row>
    <row r="51" customFormat="false" ht="7.5" hidden="false" customHeight="true" outlineLevel="0" collapsed="false">
      <c r="A51" s="2"/>
      <c r="B51" s="9"/>
      <c r="C51" s="9"/>
      <c r="D51" s="9"/>
      <c r="E51" s="9"/>
      <c r="F51" s="9"/>
      <c r="G51" s="9"/>
      <c r="H51" s="10"/>
      <c r="I51" s="10"/>
      <c r="J51" s="10"/>
      <c r="K51" s="10"/>
      <c r="L51" s="10"/>
      <c r="M51" s="10"/>
      <c r="N51" s="10"/>
      <c r="O51" s="2"/>
    </row>
    <row r="52" customFormat="false" ht="7.5" hidden="false" customHeight="true" outlineLevel="0" collapsed="false">
      <c r="A52" s="2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2"/>
    </row>
    <row r="53" customFormat="false" ht="13.5" hidden="false" customHeight="false" outlineLevel="0" collapsed="false">
      <c r="A53" s="2"/>
      <c r="B53" s="14" t="s">
        <v>80</v>
      </c>
      <c r="C53" s="15" t="s">
        <v>81</v>
      </c>
      <c r="D53" s="16" t="n">
        <v>44252</v>
      </c>
      <c r="E53" s="15"/>
      <c r="F53" s="15"/>
      <c r="G53" s="15"/>
      <c r="H53" s="15"/>
      <c r="I53" s="15"/>
      <c r="J53" s="15"/>
      <c r="K53" s="15"/>
      <c r="L53" s="15"/>
      <c r="M53" s="15"/>
      <c r="N53" s="17"/>
      <c r="O53" s="2"/>
    </row>
    <row r="54" customFormat="false" ht="13.5" hidden="false" customHeight="false" outlineLevel="0" collapsed="false">
      <c r="A54" s="2"/>
      <c r="B54" s="18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9"/>
      <c r="O54" s="2"/>
    </row>
    <row r="55" customFormat="false" ht="13.5" hidden="false" customHeight="false" outlineLevel="0" collapsed="false">
      <c r="A55" s="2"/>
      <c r="B55" s="20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1"/>
      <c r="O55" s="2"/>
    </row>
    <row r="56" customFormat="false" ht="13.5" hidden="false" customHeight="false" outlineLevel="0" collapsed="false">
      <c r="A56" s="2"/>
      <c r="B56" s="22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4"/>
      <c r="O56" s="2"/>
    </row>
    <row r="57" customFormat="false" ht="13.5" hidden="false" customHeight="fals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3.5" hidden="false" customHeight="fals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</sheetData>
  <sheetProtection algorithmName="SHA-512" hashValue="QuD/Q5PkfkUza+UOMOpkuMljzcC7SnWf8G+CGhROI0GqaI90cWetg/Iu6jicyDS+Oz24JSGOZJxlIbqP7ICZzw==" saltValue="TFVgzQvRtJcHn/9OrAWO5A==" spinCount="100000" sheet="true" objects="true" scenarios="true" formatCells="false" formatColumns="false" formatRows="false" insertColumns="false" insertRows="false" insertHyperlinks="false" deleteColumns="false" deleteRows="false" selectLockedCells="true" sort="false" autoFilter="false" pivotTables="false"/>
  <mergeCells count="25">
    <mergeCell ref="B2:G2"/>
    <mergeCell ref="B5:G5"/>
    <mergeCell ref="I5:N5"/>
    <mergeCell ref="B8:G8"/>
    <mergeCell ref="I8:N8"/>
    <mergeCell ref="B11:G11"/>
    <mergeCell ref="I11:N11"/>
    <mergeCell ref="B14:G14"/>
    <mergeCell ref="I14:N14"/>
    <mergeCell ref="B17:G17"/>
    <mergeCell ref="I17:N17"/>
    <mergeCell ref="B20:G20"/>
    <mergeCell ref="I20:N20"/>
    <mergeCell ref="B23:G23"/>
    <mergeCell ref="I23:N23"/>
    <mergeCell ref="I26:L26"/>
    <mergeCell ref="I29:J29"/>
    <mergeCell ref="L29:N29"/>
    <mergeCell ref="I32:N32"/>
    <mergeCell ref="B37:G37"/>
    <mergeCell ref="I37:N37"/>
    <mergeCell ref="B40:G40"/>
    <mergeCell ref="B43:G43"/>
    <mergeCell ref="B46:G46"/>
    <mergeCell ref="B49:G49"/>
  </mergeCells>
  <dataValidations count="2">
    <dataValidation allowBlank="true" errorStyle="stop" operator="between" showDropDown="false" showErrorMessage="true" showInputMessage="true" sqref="B26" type="list">
      <formula1>"ja,nein"</formula1>
      <formula2>0</formula2>
    </dataValidation>
    <dataValidation allowBlank="true" error="Es sind nur die vorgegebenen Eingaben zulässig&#10;" errorStyle="stop" errorTitle="Auswahlfehler" operator="between" prompt="Bitte geben Sie die gewünschte Anrede ein." promptTitle="Anrede" showDropDown="false" showErrorMessage="true" showInputMessage="true" sqref="B2:G2 I8:N8" type="list">
      <formula1>"Herr,Frau,divers"</formula1>
      <formula2>0</formula2>
    </dataValidation>
  </dataValidations>
  <hyperlinks>
    <hyperlink ref="B17" r:id="rId1" display="houcine1.hassine@hs-regensburg.de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79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560"/>
  <sheetViews>
    <sheetView showFormulas="false" showGridLines="true" showRowColHeaders="true" showZeros="true" rightToLeft="false" tabSelected="true" showOutlineSymbols="true" defaultGridColor="true" view="pageBreakPreview" topLeftCell="A137" colorId="64" zoomScale="100" zoomScaleNormal="90" zoomScalePageLayoutView="100" workbookViewId="0">
      <selection pane="topLeft" activeCell="H212" activeCellId="0" sqref="H212"/>
    </sheetView>
  </sheetViews>
  <sheetFormatPr defaultColWidth="11.4375" defaultRowHeight="13.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5.52"/>
    <col collapsed="false" customWidth="true" hidden="false" outlineLevel="0" max="3" min="3" style="1" width="12.91"/>
    <col collapsed="false" customWidth="true" hidden="false" outlineLevel="0" max="4" min="4" style="1" width="4.17"/>
    <col collapsed="false" customWidth="true" hidden="false" outlineLevel="0" max="5" min="5" style="1" width="7.26"/>
    <col collapsed="false" customWidth="true" hidden="false" outlineLevel="0" max="6" min="6" style="1" width="3.36"/>
    <col collapsed="false" customWidth="true" hidden="false" outlineLevel="0" max="7" min="7" style="1" width="5.24"/>
    <col collapsed="false" customWidth="true" hidden="false" outlineLevel="0" max="8" min="8" style="1" width="83"/>
    <col collapsed="false" customWidth="true" hidden="false" outlineLevel="0" max="9" min="9" style="1" width="7.13"/>
    <col collapsed="false" customWidth="true" hidden="false" outlineLevel="0" max="11" min="10" style="1" width="10.76"/>
    <col collapsed="false" customWidth="true" hidden="false" outlineLevel="0" max="12" min="12" style="1" width="7.13"/>
    <col collapsed="false" customWidth="true" hidden="false" outlineLevel="0" max="17" min="13" style="1" width="6.72"/>
    <col collapsed="false" customWidth="false" hidden="false" outlineLevel="0" max="16384" min="18" style="1" width="11.44"/>
  </cols>
  <sheetData>
    <row r="1" customFormat="false" ht="13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3.5" hidden="false" customHeight="false" outlineLevel="0" collapsed="false">
      <c r="A2" s="25" t="str">
        <f aca="false">Student_Name</f>
        <v>Hassine</v>
      </c>
      <c r="B2" s="25"/>
      <c r="C2" s="25"/>
      <c r="D2" s="25"/>
      <c r="E2" s="25"/>
      <c r="F2" s="25"/>
      <c r="G2" s="10"/>
      <c r="H2" s="25" t="str">
        <f aca="false">Ausbildungsbetrieb_Unternehmen</f>
        <v>Mechanische Werkstätte Schmidt e.K.</v>
      </c>
      <c r="I2" s="10"/>
      <c r="J2" s="10"/>
      <c r="K2" s="10"/>
      <c r="L2" s="10"/>
    </row>
    <row r="3" s="26" customFormat="true" ht="7.5" hidden="false" customHeight="true" outlineLevel="0" collapsed="false">
      <c r="A3" s="9" t="s">
        <v>31</v>
      </c>
      <c r="B3" s="9"/>
      <c r="C3" s="9"/>
      <c r="D3" s="9"/>
      <c r="E3" s="9"/>
      <c r="F3" s="9"/>
      <c r="G3" s="9"/>
      <c r="H3" s="9" t="s">
        <v>32</v>
      </c>
      <c r="I3" s="9"/>
      <c r="J3" s="9"/>
      <c r="K3" s="9"/>
      <c r="L3" s="9"/>
    </row>
    <row r="4" customFormat="false" ht="7.5" hidden="false" customHeight="true" outlineLevel="0" collapsed="false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</row>
    <row r="5" customFormat="false" ht="13.5" hidden="false" customHeight="false" outlineLevel="0" collapsed="false">
      <c r="A5" s="25" t="str">
        <f aca="false">Student_Vorname</f>
        <v>Houcine</v>
      </c>
      <c r="B5" s="25"/>
      <c r="C5" s="25"/>
      <c r="D5" s="25"/>
      <c r="E5" s="25"/>
      <c r="F5" s="25"/>
      <c r="G5" s="10"/>
      <c r="H5" s="25" t="str">
        <f aca="false">CONCATENATE(Ausbildungsbetrieb_Vorname, " ", Ausbildungsbetrieb_Name)</f>
        <v>Amine Halloul</v>
      </c>
      <c r="I5" s="10"/>
      <c r="J5" s="10"/>
      <c r="K5" s="10"/>
      <c r="L5" s="10"/>
    </row>
    <row r="6" s="26" customFormat="true" ht="7.5" hidden="false" customHeight="true" outlineLevel="0" collapsed="false">
      <c r="A6" s="9" t="s">
        <v>34</v>
      </c>
      <c r="B6" s="9"/>
      <c r="C6" s="9"/>
      <c r="D6" s="9"/>
      <c r="E6" s="9"/>
      <c r="F6" s="9"/>
      <c r="G6" s="9"/>
      <c r="H6" s="9" t="s">
        <v>82</v>
      </c>
      <c r="I6" s="9"/>
      <c r="J6" s="9"/>
      <c r="K6" s="9"/>
      <c r="L6" s="9"/>
    </row>
    <row r="7" customFormat="false" ht="7.5" hidden="false" customHeight="true" outlineLevel="0" collapsed="false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customFormat="false" ht="13.5" hidden="false" customHeight="false" outlineLevel="0" collapsed="false">
      <c r="A8" s="25" t="str">
        <f aca="false">Student_Studiengruppe</f>
        <v>PA6</v>
      </c>
      <c r="B8" s="25"/>
      <c r="C8" s="25"/>
      <c r="D8" s="25"/>
      <c r="E8" s="25"/>
      <c r="F8" s="25"/>
      <c r="G8" s="10"/>
      <c r="H8" s="25" t="str">
        <f aca="false">Ausbildungsbetrieb_Email</f>
        <v>⟨E-Mail Betreuer⟩</v>
      </c>
      <c r="I8" s="10"/>
      <c r="J8" s="10"/>
      <c r="K8" s="10"/>
      <c r="L8" s="10"/>
    </row>
    <row r="9" s="26" customFormat="true" ht="7.5" hidden="false" customHeight="true" outlineLevel="0" collapsed="false">
      <c r="A9" s="9" t="s">
        <v>38</v>
      </c>
      <c r="B9" s="9"/>
      <c r="C9" s="9"/>
      <c r="D9" s="9"/>
      <c r="E9" s="9"/>
      <c r="F9" s="9"/>
      <c r="G9" s="9"/>
      <c r="H9" s="9" t="s">
        <v>83</v>
      </c>
      <c r="I9" s="9"/>
      <c r="J9" s="9"/>
      <c r="K9" s="9"/>
      <c r="L9" s="9"/>
    </row>
    <row r="10" customFormat="false" ht="7.5" hidden="false" customHeight="true" outlineLevel="0" collapsed="false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customFormat="false" ht="13.5" hidden="false" customHeight="false" outlineLevel="0" collapsed="false">
      <c r="A11" s="25" t="str">
        <f aca="false">Student_Matrikelnummer</f>
        <v>3399727</v>
      </c>
      <c r="B11" s="25"/>
      <c r="C11" s="25"/>
      <c r="D11" s="25"/>
      <c r="E11" s="25"/>
      <c r="F11" s="25"/>
      <c r="G11" s="10"/>
      <c r="H11" s="25" t="str">
        <f aca="false">Ausbildungsbetrieb_Telefon</f>
        <v>⟨Telefon Betreuer⟩</v>
      </c>
      <c r="I11" s="10"/>
      <c r="J11" s="10"/>
      <c r="K11" s="10"/>
      <c r="L11" s="10"/>
    </row>
    <row r="12" s="26" customFormat="true" ht="7.5" hidden="false" customHeight="true" outlineLevel="0" collapsed="false">
      <c r="A12" s="9" t="s">
        <v>42</v>
      </c>
      <c r="B12" s="9"/>
      <c r="C12" s="9"/>
      <c r="D12" s="9"/>
      <c r="E12" s="9"/>
      <c r="F12" s="9"/>
      <c r="G12" s="9"/>
      <c r="H12" s="9" t="s">
        <v>84</v>
      </c>
      <c r="I12" s="9"/>
      <c r="J12" s="9"/>
      <c r="K12" s="9"/>
      <c r="L12" s="9"/>
    </row>
    <row r="13" customFormat="false" ht="7.5" hidden="false" customHeight="true" outlineLevel="0" collapsed="false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customFormat="false" ht="13.5" hidden="false" customHeight="false" outlineLevel="0" collapsed="false">
      <c r="A14" s="27"/>
      <c r="B14" s="28"/>
      <c r="C14" s="28"/>
      <c r="D14" s="28"/>
      <c r="E14" s="28" t="s">
        <v>85</v>
      </c>
      <c r="F14" s="28"/>
      <c r="G14" s="28"/>
      <c r="H14" s="29" t="s">
        <v>86</v>
      </c>
      <c r="I14" s="30"/>
      <c r="J14" s="30"/>
      <c r="K14" s="30"/>
      <c r="L14" s="30"/>
    </row>
    <row r="15" customFormat="false" ht="45" hidden="false" customHeight="true" outlineLevel="0" collapsed="false">
      <c r="A15" s="31" t="s">
        <v>87</v>
      </c>
      <c r="B15" s="31"/>
      <c r="C15" s="32" t="s">
        <v>88</v>
      </c>
      <c r="D15" s="32"/>
      <c r="E15" s="33" t="s">
        <v>89</v>
      </c>
      <c r="F15" s="33"/>
      <c r="G15" s="33"/>
      <c r="H15" s="34" t="s">
        <v>90</v>
      </c>
      <c r="I15" s="30"/>
      <c r="J15" s="30"/>
      <c r="K15" s="30"/>
      <c r="L15" s="30"/>
    </row>
    <row r="16" customFormat="false" ht="26.25" hidden="false" customHeight="true" outlineLevel="0" collapsed="false">
      <c r="A16" s="35" t="n">
        <v>1</v>
      </c>
      <c r="B16" s="36" t="str">
        <f aca="false">IF(WEEKDAY(C16,2)=1,"Mo",IF(WEEKDAY(C16,2)=2,"Di",IF(WEEKDAY(C16,2)=3,"Mi",IF(WEEKDAY(C16,2)=4,"Do.",IF(WEEKDAY(C16,2)=5,"Fr.",IF(WEEKDAY(C16,2)=6,"Sa.","So"))))))</f>
        <v>Mo</v>
      </c>
      <c r="C16" s="37" t="n">
        <f aca="false">Startdatum</f>
        <v>46083</v>
      </c>
      <c r="D16" s="38" t="s">
        <v>91</v>
      </c>
      <c r="E16" s="39" t="n">
        <v>8.5</v>
      </c>
      <c r="F16" s="40" t="s">
        <v>92</v>
      </c>
      <c r="G16" s="41" t="s">
        <v>93</v>
      </c>
      <c r="H16" s="42" t="s">
        <v>94</v>
      </c>
      <c r="I16" s="43"/>
      <c r="J16" s="43"/>
      <c r="K16" s="43"/>
      <c r="L16" s="43"/>
      <c r="N16" s="44"/>
    </row>
    <row r="17" customFormat="false" ht="26.25" hidden="false" customHeight="true" outlineLevel="0" collapsed="false">
      <c r="A17" s="45" t="n">
        <f aca="false">A16+1</f>
        <v>2</v>
      </c>
      <c r="B17" s="46" t="str">
        <f aca="false">IF(WEEKDAY(C17,2)=1,"Mo",IF(WEEKDAY(C17,2)=2,"Di",IF(WEEKDAY(C17,2)=3,"Mi",IF(WEEKDAY(C17,2)=4,"Do.",IF(WEEKDAY(C17,2)=5,"Fr.",IF(WEEKDAY(C17,2)=6,"Sa.","So"))))))</f>
        <v>Di</v>
      </c>
      <c r="C17" s="47" t="n">
        <f aca="false">C16+1</f>
        <v>46084</v>
      </c>
      <c r="D17" s="48" t="s">
        <v>91</v>
      </c>
      <c r="E17" s="49" t="n">
        <v>9</v>
      </c>
      <c r="F17" s="50" t="s">
        <v>92</v>
      </c>
      <c r="G17" s="51" t="s">
        <v>93</v>
      </c>
      <c r="H17" s="52" t="s">
        <v>95</v>
      </c>
      <c r="I17" s="43"/>
      <c r="J17" s="43"/>
      <c r="K17" s="43"/>
      <c r="L17" s="43"/>
      <c r="N17" s="44"/>
    </row>
    <row r="18" customFormat="false" ht="39" hidden="false" customHeight="true" outlineLevel="0" collapsed="false">
      <c r="A18" s="45" t="n">
        <f aca="false">A17+1</f>
        <v>3</v>
      </c>
      <c r="B18" s="46" t="str">
        <f aca="false">IF(WEEKDAY(C18,2)=1,"Mo",IF(WEEKDAY(C18,2)=2,"Di",IF(WEEKDAY(C18,2)=3,"Mi",IF(WEEKDAY(C18,2)=4,"Do.",IF(WEEKDAY(C18,2)=5,"Fr.",IF(WEEKDAY(C18,2)=6,"Sa.","So"))))))</f>
        <v>Mi</v>
      </c>
      <c r="C18" s="47" t="n">
        <f aca="false">C17+1</f>
        <v>46085</v>
      </c>
      <c r="D18" s="48" t="s">
        <v>91</v>
      </c>
      <c r="E18" s="49" t="n">
        <v>8.25</v>
      </c>
      <c r="F18" s="50" t="s">
        <v>92</v>
      </c>
      <c r="G18" s="51" t="s">
        <v>93</v>
      </c>
      <c r="H18" s="52" t="s">
        <v>96</v>
      </c>
      <c r="I18" s="43"/>
      <c r="J18" s="43"/>
      <c r="K18" s="43"/>
      <c r="L18" s="43"/>
      <c r="N18" s="44"/>
    </row>
    <row r="19" customFormat="false" ht="39" hidden="false" customHeight="true" outlineLevel="0" collapsed="false">
      <c r="A19" s="45" t="n">
        <f aca="false">A18+1</f>
        <v>4</v>
      </c>
      <c r="B19" s="46" t="str">
        <f aca="false">IF(WEEKDAY(C19,2)=1,"Mo",IF(WEEKDAY(C19,2)=2,"Di",IF(WEEKDAY(C19,2)=3,"Mi",IF(WEEKDAY(C19,2)=4,"Do.",IF(WEEKDAY(C19,2)=5,"Fr.",IF(WEEKDAY(C19,2)=6,"Sa.","So"))))))</f>
        <v>Do.</v>
      </c>
      <c r="C19" s="47" t="n">
        <f aca="false">C18+1</f>
        <v>46086</v>
      </c>
      <c r="D19" s="48" t="s">
        <v>91</v>
      </c>
      <c r="E19" s="49" t="n">
        <v>9.25</v>
      </c>
      <c r="F19" s="50" t="s">
        <v>92</v>
      </c>
      <c r="G19" s="51" t="s">
        <v>93</v>
      </c>
      <c r="H19" s="53" t="s">
        <v>97</v>
      </c>
      <c r="I19" s="43"/>
      <c r="J19" s="43"/>
      <c r="K19" s="43"/>
      <c r="L19" s="43"/>
      <c r="N19" s="44"/>
    </row>
    <row r="20" customFormat="false" ht="26.85" hidden="false" customHeight="false" outlineLevel="0" collapsed="false">
      <c r="A20" s="45" t="n">
        <f aca="false">A19+1</f>
        <v>5</v>
      </c>
      <c r="B20" s="46" t="str">
        <f aca="false">IF(WEEKDAY(C20,2)=1,"Mo",IF(WEEKDAY(C20,2)=2,"Di",IF(WEEKDAY(C20,2)=3,"Mi",IF(WEEKDAY(C20,2)=4,"Do.",IF(WEEKDAY(C20,2)=5,"Fr.",IF(WEEKDAY(C20,2)=6,"Sa.","So"))))))</f>
        <v>Fr.</v>
      </c>
      <c r="C20" s="47" t="n">
        <f aca="false">C19+1</f>
        <v>46087</v>
      </c>
      <c r="D20" s="48" t="s">
        <v>91</v>
      </c>
      <c r="E20" s="49" t="n">
        <v>7.75</v>
      </c>
      <c r="F20" s="50" t="s">
        <v>92</v>
      </c>
      <c r="G20" s="51" t="s">
        <v>93</v>
      </c>
      <c r="H20" s="52" t="s">
        <v>98</v>
      </c>
      <c r="I20" s="43"/>
      <c r="J20" s="43"/>
      <c r="K20" s="43"/>
      <c r="L20" s="43"/>
      <c r="N20" s="44"/>
    </row>
    <row r="21" customFormat="false" ht="13.5" hidden="false" customHeight="false" outlineLevel="0" collapsed="false">
      <c r="A21" s="45" t="n">
        <f aca="false">A20+1</f>
        <v>6</v>
      </c>
      <c r="B21" s="46" t="str">
        <f aca="false">IF(WEEKDAY(C21,2)=1,"Mo",IF(WEEKDAY(C21,2)=2,"Di",IF(WEEKDAY(C21,2)=3,"Mi",IF(WEEKDAY(C21,2)=4,"Do.",IF(WEEKDAY(C21,2)=5,"Fr.",IF(WEEKDAY(C21,2)=6,"Sa.","So"))))))</f>
        <v>Sa.</v>
      </c>
      <c r="C21" s="47" t="n">
        <f aca="false">C20+1</f>
        <v>46088</v>
      </c>
      <c r="D21" s="48"/>
      <c r="E21" s="49"/>
      <c r="F21" s="50" t="s">
        <v>92</v>
      </c>
      <c r="G21" s="51" t="s">
        <v>93</v>
      </c>
      <c r="H21" s="52"/>
      <c r="I21" s="43"/>
      <c r="J21" s="43"/>
      <c r="K21" s="43"/>
      <c r="L21" s="43"/>
      <c r="N21" s="44"/>
    </row>
    <row r="22" customFormat="false" ht="13.5" hidden="false" customHeight="false" outlineLevel="0" collapsed="false">
      <c r="A22" s="45" t="n">
        <f aca="false">A21+1</f>
        <v>7</v>
      </c>
      <c r="B22" s="46" t="str">
        <f aca="false">IF(WEEKDAY(C22,2)=1,"Mo",IF(WEEKDAY(C22,2)=2,"Di",IF(WEEKDAY(C22,2)=3,"Mi",IF(WEEKDAY(C22,2)=4,"Do.",IF(WEEKDAY(C22,2)=5,"Fr.",IF(WEEKDAY(C22,2)=6,"Sa.","So"))))))</f>
        <v>So</v>
      </c>
      <c r="C22" s="47" t="n">
        <f aca="false">C21+1</f>
        <v>46089</v>
      </c>
      <c r="D22" s="48"/>
      <c r="E22" s="49"/>
      <c r="F22" s="50" t="s">
        <v>92</v>
      </c>
      <c r="G22" s="51" t="s">
        <v>93</v>
      </c>
      <c r="H22" s="52"/>
      <c r="I22" s="43"/>
      <c r="J22" s="43"/>
      <c r="K22" s="43"/>
      <c r="L22" s="43"/>
      <c r="N22" s="44"/>
    </row>
    <row r="23" customFormat="false" ht="39" hidden="false" customHeight="true" outlineLevel="0" collapsed="false">
      <c r="A23" s="45" t="n">
        <f aca="false">A22+1</f>
        <v>8</v>
      </c>
      <c r="B23" s="46" t="str">
        <f aca="false">IF(WEEKDAY(C23,2)=1,"Mo",IF(WEEKDAY(C23,2)=2,"Di",IF(WEEKDAY(C23,2)=3,"Mi",IF(WEEKDAY(C23,2)=4,"Do.",IF(WEEKDAY(C23,2)=5,"Fr.",IF(WEEKDAY(C23,2)=6,"Sa.","So"))))))</f>
        <v>Mo</v>
      </c>
      <c r="C23" s="47" t="n">
        <f aca="false">C22+1</f>
        <v>46090</v>
      </c>
      <c r="D23" s="48" t="s">
        <v>91</v>
      </c>
      <c r="E23" s="49" t="n">
        <v>8.75</v>
      </c>
      <c r="F23" s="50" t="s">
        <v>92</v>
      </c>
      <c r="G23" s="51" t="s">
        <v>93</v>
      </c>
      <c r="H23" s="53" t="s">
        <v>99</v>
      </c>
      <c r="I23" s="43"/>
      <c r="J23" s="43"/>
      <c r="K23" s="43"/>
      <c r="L23" s="43"/>
      <c r="N23" s="44"/>
    </row>
    <row r="24" customFormat="false" ht="51" hidden="false" customHeight="true" outlineLevel="0" collapsed="false">
      <c r="A24" s="45" t="n">
        <f aca="false">A23+1</f>
        <v>9</v>
      </c>
      <c r="B24" s="46" t="str">
        <f aca="false">IF(WEEKDAY(C24,2)=1,"Mo",IF(WEEKDAY(C24,2)=2,"Di",IF(WEEKDAY(C24,2)=3,"Mi",IF(WEEKDAY(C24,2)=4,"Do.",IF(WEEKDAY(C24,2)=5,"Fr.",IF(WEEKDAY(C24,2)=6,"Sa.","So"))))))</f>
        <v>Di</v>
      </c>
      <c r="C24" s="47" t="n">
        <f aca="false">C23+1</f>
        <v>46091</v>
      </c>
      <c r="D24" s="48" t="s">
        <v>91</v>
      </c>
      <c r="E24" s="49" t="n">
        <v>9.5</v>
      </c>
      <c r="F24" s="50" t="s">
        <v>92</v>
      </c>
      <c r="G24" s="51" t="s">
        <v>93</v>
      </c>
      <c r="H24" s="52" t="s">
        <v>100</v>
      </c>
      <c r="I24" s="43"/>
      <c r="J24" s="43"/>
      <c r="K24" s="43"/>
      <c r="L24" s="43"/>
      <c r="N24" s="44"/>
    </row>
    <row r="25" customFormat="false" ht="63.75" hidden="false" customHeight="true" outlineLevel="0" collapsed="false">
      <c r="A25" s="45" t="n">
        <f aca="false">A24+1</f>
        <v>10</v>
      </c>
      <c r="B25" s="46" t="str">
        <f aca="false">IF(WEEKDAY(C25,2)=1,"Mo",IF(WEEKDAY(C25,2)=2,"Di",IF(WEEKDAY(C25,2)=3,"Mi",IF(WEEKDAY(C25,2)=4,"Do.",IF(WEEKDAY(C25,2)=5,"Fr.",IF(WEEKDAY(C25,2)=6,"Sa.","So"))))))</f>
        <v>Mi</v>
      </c>
      <c r="C25" s="47" t="n">
        <f aca="false">C24+1</f>
        <v>46092</v>
      </c>
      <c r="D25" s="48" t="s">
        <v>91</v>
      </c>
      <c r="E25" s="49" t="n">
        <v>8</v>
      </c>
      <c r="F25" s="50" t="s">
        <v>92</v>
      </c>
      <c r="G25" s="51" t="s">
        <v>93</v>
      </c>
      <c r="H25" s="53" t="s">
        <v>101</v>
      </c>
      <c r="I25" s="43"/>
      <c r="J25" s="43"/>
      <c r="K25" s="43"/>
      <c r="L25" s="43"/>
      <c r="N25" s="44"/>
    </row>
    <row r="26" customFormat="false" ht="63.75" hidden="false" customHeight="true" outlineLevel="0" collapsed="false">
      <c r="A26" s="45" t="n">
        <f aca="false">A25+1</f>
        <v>11</v>
      </c>
      <c r="B26" s="46" t="str">
        <f aca="false">IF(WEEKDAY(C26,2)=1,"Mo",IF(WEEKDAY(C26,2)=2,"Di",IF(WEEKDAY(C26,2)=3,"Mi",IF(WEEKDAY(C26,2)=4,"Do.",IF(WEEKDAY(C26,2)=5,"Fr.",IF(WEEKDAY(C26,2)=6,"Sa.","So"))))))</f>
        <v>Do.</v>
      </c>
      <c r="C26" s="47" t="n">
        <f aca="false">C25+1</f>
        <v>46093</v>
      </c>
      <c r="D26" s="48" t="s">
        <v>91</v>
      </c>
      <c r="E26" s="49" t="n">
        <v>8.6</v>
      </c>
      <c r="F26" s="50" t="s">
        <v>92</v>
      </c>
      <c r="G26" s="51" t="s">
        <v>93</v>
      </c>
      <c r="H26" s="53" t="s">
        <v>102</v>
      </c>
      <c r="I26" s="43"/>
      <c r="J26" s="43"/>
      <c r="K26" s="43"/>
      <c r="L26" s="43"/>
      <c r="N26" s="44"/>
    </row>
    <row r="27" customFormat="false" ht="26.85" hidden="false" customHeight="false" outlineLevel="0" collapsed="false">
      <c r="A27" s="45" t="n">
        <f aca="false">A26+1</f>
        <v>12</v>
      </c>
      <c r="B27" s="46" t="str">
        <f aca="false">IF(WEEKDAY(C27,2)=1,"Mo",IF(WEEKDAY(C27,2)=2,"Di",IF(WEEKDAY(C27,2)=3,"Mi",IF(WEEKDAY(C27,2)=4,"Do.",IF(WEEKDAY(C27,2)=5,"Fr.",IF(WEEKDAY(C27,2)=6,"Sa.","So"))))))</f>
        <v>Fr.</v>
      </c>
      <c r="C27" s="47" t="n">
        <f aca="false">C26+1</f>
        <v>46094</v>
      </c>
      <c r="D27" s="48" t="s">
        <v>91</v>
      </c>
      <c r="E27" s="49" t="n">
        <v>9.05</v>
      </c>
      <c r="F27" s="50" t="s">
        <v>92</v>
      </c>
      <c r="G27" s="51" t="s">
        <v>93</v>
      </c>
      <c r="H27" s="52" t="s">
        <v>103</v>
      </c>
      <c r="I27" s="43"/>
      <c r="J27" s="43"/>
      <c r="K27" s="43"/>
      <c r="L27" s="43"/>
      <c r="N27" s="44"/>
    </row>
    <row r="28" customFormat="false" ht="13.5" hidden="false" customHeight="false" outlineLevel="0" collapsed="false">
      <c r="A28" s="45" t="n">
        <f aca="false">A27+1</f>
        <v>13</v>
      </c>
      <c r="B28" s="46" t="str">
        <f aca="false">IF(WEEKDAY(C28,2)=1,"Mo",IF(WEEKDAY(C28,2)=2,"Di",IF(WEEKDAY(C28,2)=3,"Mi",IF(WEEKDAY(C28,2)=4,"Do.",IF(WEEKDAY(C28,2)=5,"Fr.",IF(WEEKDAY(C28,2)=6,"Sa.","So"))))))</f>
        <v>Sa.</v>
      </c>
      <c r="C28" s="47" t="n">
        <f aca="false">C27+1</f>
        <v>46095</v>
      </c>
      <c r="D28" s="48"/>
      <c r="E28" s="49"/>
      <c r="F28" s="50" t="s">
        <v>92</v>
      </c>
      <c r="G28" s="51" t="s">
        <v>93</v>
      </c>
      <c r="H28" s="52"/>
      <c r="I28" s="43"/>
      <c r="J28" s="43"/>
      <c r="K28" s="43"/>
      <c r="L28" s="43"/>
      <c r="N28" s="44"/>
    </row>
    <row r="29" customFormat="false" ht="13.5" hidden="false" customHeight="false" outlineLevel="0" collapsed="false">
      <c r="A29" s="45" t="n">
        <f aca="false">A28+1</f>
        <v>14</v>
      </c>
      <c r="B29" s="46" t="str">
        <f aca="false">IF(WEEKDAY(C29,2)=1,"Mo",IF(WEEKDAY(C29,2)=2,"Di",IF(WEEKDAY(C29,2)=3,"Mi",IF(WEEKDAY(C29,2)=4,"Do.",IF(WEEKDAY(C29,2)=5,"Fr.",IF(WEEKDAY(C29,2)=6,"Sa.","So"))))))</f>
        <v>So</v>
      </c>
      <c r="C29" s="47" t="n">
        <f aca="false">C28+1</f>
        <v>46096</v>
      </c>
      <c r="D29" s="48"/>
      <c r="E29" s="49"/>
      <c r="F29" s="50" t="s">
        <v>92</v>
      </c>
      <c r="G29" s="51" t="s">
        <v>93</v>
      </c>
      <c r="H29" s="52"/>
      <c r="I29" s="43"/>
      <c r="J29" s="43"/>
      <c r="K29" s="43"/>
      <c r="L29" s="43"/>
      <c r="N29" s="44"/>
    </row>
    <row r="30" customFormat="false" ht="39" hidden="false" customHeight="true" outlineLevel="0" collapsed="false">
      <c r="A30" s="45" t="n">
        <f aca="false">A29+1</f>
        <v>15</v>
      </c>
      <c r="B30" s="46" t="str">
        <f aca="false">IF(WEEKDAY(C30,2)=1,"Mo",IF(WEEKDAY(C30,2)=2,"Di",IF(WEEKDAY(C30,2)=3,"Mi",IF(WEEKDAY(C30,2)=4,"Do.",IF(WEEKDAY(C30,2)=5,"Fr.",IF(WEEKDAY(C30,2)=6,"Sa.","So"))))))</f>
        <v>Mo</v>
      </c>
      <c r="C30" s="47" t="n">
        <f aca="false">C29+1</f>
        <v>46097</v>
      </c>
      <c r="D30" s="48" t="s">
        <v>91</v>
      </c>
      <c r="E30" s="49" t="n">
        <v>8.3</v>
      </c>
      <c r="F30" s="50" t="s">
        <v>92</v>
      </c>
      <c r="G30" s="51" t="s">
        <v>93</v>
      </c>
      <c r="H30" s="53" t="s">
        <v>104</v>
      </c>
      <c r="I30" s="43"/>
      <c r="J30" s="43"/>
      <c r="K30" s="43"/>
      <c r="L30" s="43"/>
      <c r="N30" s="44"/>
    </row>
    <row r="31" customFormat="false" ht="39" hidden="false" customHeight="true" outlineLevel="0" collapsed="false">
      <c r="A31" s="45" t="n">
        <f aca="false">A30+1</f>
        <v>16</v>
      </c>
      <c r="B31" s="46" t="str">
        <f aca="false">IF(WEEKDAY(C31,2)=1,"Mo",IF(WEEKDAY(C31,2)=2,"Di",IF(WEEKDAY(C31,2)=3,"Mi",IF(WEEKDAY(C31,2)=4,"Do.",IF(WEEKDAY(C31,2)=5,"Fr.",IF(WEEKDAY(C31,2)=6,"Sa.","So"))))))</f>
        <v>Di</v>
      </c>
      <c r="C31" s="47" t="n">
        <f aca="false">C30+1</f>
        <v>46098</v>
      </c>
      <c r="D31" s="48" t="s">
        <v>91</v>
      </c>
      <c r="E31" s="49" t="n">
        <v>7.55</v>
      </c>
      <c r="F31" s="50" t="s">
        <v>92</v>
      </c>
      <c r="G31" s="51" t="s">
        <v>93</v>
      </c>
      <c r="H31" s="53" t="s">
        <v>105</v>
      </c>
      <c r="I31" s="43"/>
      <c r="J31" s="43"/>
      <c r="K31" s="43"/>
      <c r="L31" s="43"/>
      <c r="N31" s="44"/>
    </row>
    <row r="32" customFormat="false" ht="26.25" hidden="false" customHeight="true" outlineLevel="0" collapsed="false">
      <c r="A32" s="45" t="n">
        <f aca="false">A31+1</f>
        <v>17</v>
      </c>
      <c r="B32" s="46" t="str">
        <f aca="false">IF(WEEKDAY(C32,2)=1,"Mo",IF(WEEKDAY(C32,2)=2,"Di",IF(WEEKDAY(C32,2)=3,"Mi",IF(WEEKDAY(C32,2)=4,"Do.",IF(WEEKDAY(C32,2)=5,"Fr.",IF(WEEKDAY(C32,2)=6,"Sa.","So"))))))</f>
        <v>Mi</v>
      </c>
      <c r="C32" s="47" t="n">
        <f aca="false">C31+1</f>
        <v>46099</v>
      </c>
      <c r="D32" s="48" t="s">
        <v>106</v>
      </c>
      <c r="E32" s="49" t="n">
        <v>5.5</v>
      </c>
      <c r="F32" s="50" t="s">
        <v>92</v>
      </c>
      <c r="G32" s="51" t="s">
        <v>54</v>
      </c>
      <c r="H32" s="53" t="s">
        <v>107</v>
      </c>
      <c r="I32" s="43"/>
      <c r="J32" s="43"/>
      <c r="K32" s="43"/>
      <c r="L32" s="43"/>
      <c r="N32" s="44"/>
    </row>
    <row r="33" customFormat="false" ht="39" hidden="false" customHeight="true" outlineLevel="0" collapsed="false">
      <c r="A33" s="45" t="n">
        <f aca="false">A32+1</f>
        <v>18</v>
      </c>
      <c r="B33" s="46" t="str">
        <f aca="false">IF(WEEKDAY(C33,2)=1,"Mo",IF(WEEKDAY(C33,2)=2,"Di",IF(WEEKDAY(C33,2)=3,"Mi",IF(WEEKDAY(C33,2)=4,"Do.",IF(WEEKDAY(C33,2)=5,"Fr.",IF(WEEKDAY(C33,2)=6,"Sa.","So"))))))</f>
        <v>Do.</v>
      </c>
      <c r="C33" s="47" t="n">
        <f aca="false">C32+1</f>
        <v>46100</v>
      </c>
      <c r="D33" s="48" t="s">
        <v>91</v>
      </c>
      <c r="E33" s="49" t="n">
        <v>8.8</v>
      </c>
      <c r="F33" s="50" t="s">
        <v>92</v>
      </c>
      <c r="G33" s="51" t="s">
        <v>93</v>
      </c>
      <c r="H33" s="53" t="s">
        <v>108</v>
      </c>
      <c r="I33" s="43"/>
      <c r="J33" s="43"/>
      <c r="K33" s="43"/>
      <c r="L33" s="43"/>
      <c r="N33" s="44"/>
    </row>
    <row r="34" customFormat="false" ht="13.5" hidden="false" customHeight="false" outlineLevel="0" collapsed="false">
      <c r="A34" s="45" t="n">
        <f aca="false">A33+1</f>
        <v>19</v>
      </c>
      <c r="B34" s="46" t="str">
        <f aca="false">IF(WEEKDAY(C34,2)=1,"Mo",IF(WEEKDAY(C34,2)=2,"Di",IF(WEEKDAY(C34,2)=3,"Mi",IF(WEEKDAY(C34,2)=4,"Do.",IF(WEEKDAY(C34,2)=5,"Fr.",IF(WEEKDAY(C34,2)=6,"Sa.","So"))))))</f>
        <v>Fr.</v>
      </c>
      <c r="C34" s="47" t="n">
        <f aca="false">C33+1</f>
        <v>46101</v>
      </c>
      <c r="D34" s="48" t="s">
        <v>109</v>
      </c>
      <c r="E34" s="49"/>
      <c r="F34" s="50" t="s">
        <v>92</v>
      </c>
      <c r="G34" s="51" t="s">
        <v>93</v>
      </c>
      <c r="H34" s="52" t="s">
        <v>110</v>
      </c>
      <c r="I34" s="43"/>
      <c r="J34" s="43"/>
      <c r="K34" s="43"/>
      <c r="L34" s="43"/>
      <c r="N34" s="44"/>
    </row>
    <row r="35" customFormat="false" ht="13.5" hidden="false" customHeight="false" outlineLevel="0" collapsed="false">
      <c r="A35" s="45" t="n">
        <f aca="false">A34+1</f>
        <v>20</v>
      </c>
      <c r="B35" s="46" t="str">
        <f aca="false">IF(WEEKDAY(C35,2)=1,"Mo",IF(WEEKDAY(C35,2)=2,"Di",IF(WEEKDAY(C35,2)=3,"Mi",IF(WEEKDAY(C35,2)=4,"Do.",IF(WEEKDAY(C35,2)=5,"Fr.",IF(WEEKDAY(C35,2)=6,"Sa.","So"))))))</f>
        <v>Sa.</v>
      </c>
      <c r="C35" s="47" t="n">
        <f aca="false">C34+1</f>
        <v>46102</v>
      </c>
      <c r="D35" s="48"/>
      <c r="E35" s="49"/>
      <c r="F35" s="50" t="s">
        <v>92</v>
      </c>
      <c r="G35" s="51" t="s">
        <v>93</v>
      </c>
      <c r="H35" s="52"/>
      <c r="I35" s="43"/>
      <c r="J35" s="43"/>
      <c r="K35" s="43"/>
      <c r="L35" s="43"/>
      <c r="N35" s="44"/>
    </row>
    <row r="36" customFormat="false" ht="13.5" hidden="false" customHeight="false" outlineLevel="0" collapsed="false">
      <c r="A36" s="45" t="n">
        <f aca="false">A35+1</f>
        <v>21</v>
      </c>
      <c r="B36" s="46" t="str">
        <f aca="false">IF(WEEKDAY(C36,2)=1,"Mo",IF(WEEKDAY(C36,2)=2,"Di",IF(WEEKDAY(C36,2)=3,"Mi",IF(WEEKDAY(C36,2)=4,"Do.",IF(WEEKDAY(C36,2)=5,"Fr.",IF(WEEKDAY(C36,2)=6,"Sa.","So"))))))</f>
        <v>So</v>
      </c>
      <c r="C36" s="47" t="n">
        <f aca="false">C35+1</f>
        <v>46103</v>
      </c>
      <c r="D36" s="48"/>
      <c r="E36" s="49"/>
      <c r="F36" s="50" t="s">
        <v>92</v>
      </c>
      <c r="G36" s="51" t="s">
        <v>93</v>
      </c>
      <c r="H36" s="52"/>
      <c r="I36" s="43"/>
      <c r="J36" s="43"/>
      <c r="K36" s="43"/>
      <c r="L36" s="43"/>
      <c r="N36" s="44"/>
    </row>
    <row r="37" customFormat="false" ht="26.85" hidden="false" customHeight="false" outlineLevel="0" collapsed="false">
      <c r="A37" s="45" t="n">
        <f aca="false">A36+1</f>
        <v>22</v>
      </c>
      <c r="B37" s="46" t="str">
        <f aca="false">IF(WEEKDAY(C37,2)=1,"Mo",IF(WEEKDAY(C37,2)=2,"Di",IF(WEEKDAY(C37,2)=3,"Mi",IF(WEEKDAY(C37,2)=4,"Do.",IF(WEEKDAY(C37,2)=5,"Fr.",IF(WEEKDAY(C37,2)=6,"Sa.","So"))))))</f>
        <v>Mo</v>
      </c>
      <c r="C37" s="47" t="n">
        <f aca="false">C36+1</f>
        <v>46104</v>
      </c>
      <c r="D37" s="48" t="s">
        <v>91</v>
      </c>
      <c r="E37" s="49" t="n">
        <v>9.2</v>
      </c>
      <c r="F37" s="50" t="s">
        <v>92</v>
      </c>
      <c r="G37" s="51" t="s">
        <v>93</v>
      </c>
      <c r="H37" s="52" t="s">
        <v>111</v>
      </c>
      <c r="I37" s="43"/>
      <c r="J37" s="43"/>
      <c r="K37" s="43"/>
      <c r="L37" s="43"/>
    </row>
    <row r="38" customFormat="false" ht="26.85" hidden="false" customHeight="false" outlineLevel="0" collapsed="false">
      <c r="A38" s="45" t="n">
        <f aca="false">A37+1</f>
        <v>23</v>
      </c>
      <c r="B38" s="46" t="str">
        <f aca="false">IF(WEEKDAY(C38,2)=1,"Mo",IF(WEEKDAY(C38,2)=2,"Di",IF(WEEKDAY(C38,2)=3,"Mi",IF(WEEKDAY(C38,2)=4,"Do.",IF(WEEKDAY(C38,2)=5,"Fr.",IF(WEEKDAY(C38,2)=6,"Sa.","So"))))))</f>
        <v>Di</v>
      </c>
      <c r="C38" s="47" t="n">
        <f aca="false">C37+1</f>
        <v>46105</v>
      </c>
      <c r="D38" s="48" t="s">
        <v>91</v>
      </c>
      <c r="E38" s="49" t="n">
        <v>8.45</v>
      </c>
      <c r="F38" s="50" t="s">
        <v>92</v>
      </c>
      <c r="G38" s="51" t="s">
        <v>93</v>
      </c>
      <c r="H38" s="52" t="s">
        <v>112</v>
      </c>
      <c r="I38" s="43"/>
      <c r="J38" s="43"/>
      <c r="K38" s="43"/>
      <c r="L38" s="43"/>
    </row>
    <row r="39" customFormat="false" ht="26.25" hidden="false" customHeight="true" outlineLevel="0" collapsed="false">
      <c r="A39" s="45" t="n">
        <f aca="false">A38+1</f>
        <v>24</v>
      </c>
      <c r="B39" s="46" t="str">
        <f aca="false">IF(WEEKDAY(C39,2)=1,"Mo",IF(WEEKDAY(C39,2)=2,"Di",IF(WEEKDAY(C39,2)=3,"Mi",IF(WEEKDAY(C39,2)=4,"Do.",IF(WEEKDAY(C39,2)=5,"Fr.",IF(WEEKDAY(C39,2)=6,"Sa.","So"))))))</f>
        <v>Mi</v>
      </c>
      <c r="C39" s="47" t="n">
        <f aca="false">C38+1</f>
        <v>46106</v>
      </c>
      <c r="D39" s="48" t="s">
        <v>106</v>
      </c>
      <c r="E39" s="49" t="n">
        <v>5</v>
      </c>
      <c r="F39" s="50" t="s">
        <v>92</v>
      </c>
      <c r="G39" s="51" t="s">
        <v>54</v>
      </c>
      <c r="H39" s="54" t="s">
        <v>113</v>
      </c>
      <c r="I39" s="43"/>
      <c r="J39" s="43"/>
      <c r="K39" s="43"/>
      <c r="L39" s="43"/>
    </row>
    <row r="40" customFormat="false" ht="39" hidden="false" customHeight="true" outlineLevel="0" collapsed="false">
      <c r="A40" s="45" t="n">
        <f aca="false">A39+1</f>
        <v>25</v>
      </c>
      <c r="B40" s="46" t="str">
        <f aca="false">IF(WEEKDAY(C40,2)=1,"Mo",IF(WEEKDAY(C40,2)=2,"Di",IF(WEEKDAY(C40,2)=3,"Mi",IF(WEEKDAY(C40,2)=4,"Do.",IF(WEEKDAY(C40,2)=5,"Fr.",IF(WEEKDAY(C40,2)=6,"Sa.","So"))))))</f>
        <v>Do.</v>
      </c>
      <c r="C40" s="47" t="n">
        <f aca="false">C39+1</f>
        <v>46107</v>
      </c>
      <c r="D40" s="48" t="s">
        <v>91</v>
      </c>
      <c r="E40" s="49" t="n">
        <v>8.95</v>
      </c>
      <c r="F40" s="50" t="s">
        <v>92</v>
      </c>
      <c r="G40" s="51" t="s">
        <v>93</v>
      </c>
      <c r="H40" s="53" t="s">
        <v>114</v>
      </c>
      <c r="I40" s="43"/>
      <c r="J40" s="43"/>
      <c r="K40" s="43"/>
      <c r="L40" s="43"/>
    </row>
    <row r="41" customFormat="false" ht="13.5" hidden="false" customHeight="false" outlineLevel="0" collapsed="false">
      <c r="A41" s="45" t="n">
        <f aca="false">A40+1</f>
        <v>26</v>
      </c>
      <c r="B41" s="46" t="str">
        <f aca="false">IF(WEEKDAY(C41,2)=1,"Mo",IF(WEEKDAY(C41,2)=2,"Di",IF(WEEKDAY(C41,2)=3,"Mi",IF(WEEKDAY(C41,2)=4,"Do.",IF(WEEKDAY(C41,2)=5,"Fr.",IF(WEEKDAY(C41,2)=6,"Sa.","So"))))))</f>
        <v>Fr.</v>
      </c>
      <c r="C41" s="47" t="n">
        <f aca="false">C40+1</f>
        <v>46108</v>
      </c>
      <c r="D41" s="48" t="s">
        <v>91</v>
      </c>
      <c r="E41" s="49" t="n">
        <v>9</v>
      </c>
      <c r="F41" s="50" t="s">
        <v>92</v>
      </c>
      <c r="G41" s="51" t="s">
        <v>93</v>
      </c>
      <c r="H41" s="52" t="s">
        <v>115</v>
      </c>
      <c r="I41" s="43"/>
      <c r="J41" s="43"/>
      <c r="K41" s="43"/>
      <c r="L41" s="43"/>
    </row>
    <row r="42" customFormat="false" ht="13.5" hidden="false" customHeight="false" outlineLevel="0" collapsed="false">
      <c r="A42" s="45" t="n">
        <f aca="false">A41+1</f>
        <v>27</v>
      </c>
      <c r="B42" s="46" t="str">
        <f aca="false">IF(WEEKDAY(C42,2)=1,"Mo",IF(WEEKDAY(C42,2)=2,"Di",IF(WEEKDAY(C42,2)=3,"Mi",IF(WEEKDAY(C42,2)=4,"Do.",IF(WEEKDAY(C42,2)=5,"Fr.",IF(WEEKDAY(C42,2)=6,"Sa.","So"))))))</f>
        <v>Sa.</v>
      </c>
      <c r="C42" s="47" t="n">
        <f aca="false">C41+1</f>
        <v>46109</v>
      </c>
      <c r="D42" s="48"/>
      <c r="E42" s="49"/>
      <c r="F42" s="50" t="s">
        <v>92</v>
      </c>
      <c r="G42" s="51" t="s">
        <v>93</v>
      </c>
      <c r="H42" s="52"/>
      <c r="I42" s="43"/>
      <c r="J42" s="43"/>
      <c r="K42" s="43"/>
      <c r="L42" s="43"/>
    </row>
    <row r="43" customFormat="false" ht="14.25" hidden="false" customHeight="true" outlineLevel="0" collapsed="false">
      <c r="A43" s="55" t="n">
        <f aca="false">A42+1</f>
        <v>28</v>
      </c>
      <c r="B43" s="56" t="str">
        <f aca="false">IF(WEEKDAY(C43,2)=1,"Mo",IF(WEEKDAY(C43,2)=2,"Di",IF(WEEKDAY(C43,2)=3,"Mi",IF(WEEKDAY(C43,2)=4,"Do.",IF(WEEKDAY(C43,2)=5,"Fr.",IF(WEEKDAY(C43,2)=6,"Sa.","So"))))))</f>
        <v>So</v>
      </c>
      <c r="C43" s="57" t="n">
        <f aca="false">C42+1</f>
        <v>46110</v>
      </c>
      <c r="D43" s="58"/>
      <c r="E43" s="59"/>
      <c r="F43" s="60" t="s">
        <v>92</v>
      </c>
      <c r="G43" s="61" t="s">
        <v>93</v>
      </c>
      <c r="H43" s="62"/>
      <c r="I43" s="43"/>
      <c r="J43" s="43"/>
      <c r="K43" s="43"/>
      <c r="L43" s="43"/>
      <c r="N43" s="63"/>
      <c r="O43" s="64" t="s">
        <v>116</v>
      </c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A43" s="64"/>
    </row>
    <row r="44" customFormat="false" ht="13.5" hidden="false" customHeight="false" outlineLevel="0" collapsed="false">
      <c r="A44" s="44"/>
      <c r="B44" s="44"/>
      <c r="C44" s="44"/>
      <c r="D44" s="44"/>
      <c r="E44" s="44"/>
      <c r="F44" s="2"/>
      <c r="G44" s="2"/>
      <c r="H44" s="44"/>
      <c r="I44" s="44"/>
      <c r="J44" s="44"/>
      <c r="K44" s="44"/>
      <c r="L44" s="44"/>
      <c r="N44" s="65"/>
      <c r="O44" s="1" t="s">
        <v>117</v>
      </c>
    </row>
    <row r="45" customFormat="false" ht="13.5" hidden="false" customHeight="false" outlineLevel="0" collapsed="false">
      <c r="A45" s="66" t="str">
        <f aca="false">Student_Name</f>
        <v>Hassine</v>
      </c>
      <c r="B45" s="66"/>
      <c r="C45" s="66"/>
      <c r="D45" s="66"/>
      <c r="E45" s="66"/>
      <c r="F45" s="66"/>
      <c r="G45" s="10"/>
      <c r="H45" s="66" t="str">
        <f aca="false">Ausbildungsbetrieb_Unternehmen</f>
        <v>Mechanische Werkstätte Schmidt e.K.</v>
      </c>
      <c r="I45" s="67"/>
      <c r="J45" s="67"/>
      <c r="K45" s="67"/>
      <c r="L45" s="67"/>
    </row>
    <row r="46" customFormat="false" ht="7.5" hidden="false" customHeight="true" outlineLevel="0" collapsed="false">
      <c r="A46" s="68" t="s">
        <v>31</v>
      </c>
      <c r="B46" s="68"/>
      <c r="C46" s="68"/>
      <c r="D46" s="68"/>
      <c r="E46" s="68"/>
      <c r="F46" s="9"/>
      <c r="G46" s="9"/>
      <c r="H46" s="68" t="s">
        <v>32</v>
      </c>
      <c r="I46" s="68"/>
      <c r="J46" s="68"/>
      <c r="K46" s="68"/>
      <c r="L46" s="68"/>
    </row>
    <row r="47" customFormat="false" ht="7.5" hidden="false" customHeight="true" outlineLevel="0" collapsed="false">
      <c r="A47" s="67"/>
      <c r="B47" s="67"/>
      <c r="C47" s="67"/>
      <c r="D47" s="67"/>
      <c r="E47" s="67"/>
      <c r="F47" s="10"/>
      <c r="G47" s="10"/>
      <c r="H47" s="67"/>
      <c r="I47" s="67"/>
      <c r="J47" s="67"/>
      <c r="K47" s="67"/>
      <c r="L47" s="67"/>
    </row>
    <row r="48" customFormat="false" ht="13.5" hidden="false" customHeight="false" outlineLevel="0" collapsed="false">
      <c r="A48" s="66" t="str">
        <f aca="false">Student_Vorname</f>
        <v>Houcine</v>
      </c>
      <c r="B48" s="66"/>
      <c r="C48" s="66"/>
      <c r="D48" s="66"/>
      <c r="E48" s="66"/>
      <c r="F48" s="66"/>
      <c r="G48" s="10"/>
      <c r="H48" s="66" t="str">
        <f aca="false">CONCATENATE(Ausbildungsbetrieb_Vorname, " ", Ausbildungsbetrieb_Name)</f>
        <v>Amine Halloul</v>
      </c>
      <c r="I48" s="67"/>
      <c r="J48" s="67"/>
      <c r="K48" s="67"/>
      <c r="L48" s="67"/>
    </row>
    <row r="49" customFormat="false" ht="7.5" hidden="false" customHeight="true" outlineLevel="0" collapsed="false">
      <c r="A49" s="68" t="s">
        <v>34</v>
      </c>
      <c r="B49" s="68"/>
      <c r="C49" s="68"/>
      <c r="D49" s="68"/>
      <c r="E49" s="68"/>
      <c r="F49" s="9"/>
      <c r="G49" s="9"/>
      <c r="H49" s="68" t="s">
        <v>82</v>
      </c>
      <c r="I49" s="68"/>
      <c r="J49" s="68"/>
      <c r="K49" s="68"/>
      <c r="L49" s="68"/>
    </row>
    <row r="50" customFormat="false" ht="7.5" hidden="false" customHeight="true" outlineLevel="0" collapsed="false">
      <c r="A50" s="67"/>
      <c r="B50" s="67"/>
      <c r="C50" s="67"/>
      <c r="D50" s="67"/>
      <c r="E50" s="67"/>
      <c r="F50" s="10"/>
      <c r="G50" s="10"/>
      <c r="H50" s="67"/>
      <c r="I50" s="67"/>
      <c r="J50" s="67"/>
      <c r="K50" s="67"/>
      <c r="L50" s="67"/>
    </row>
    <row r="51" customFormat="false" ht="13.5" hidden="false" customHeight="false" outlineLevel="0" collapsed="false">
      <c r="A51" s="66" t="str">
        <f aca="false">Student_Studiengruppe</f>
        <v>PA6</v>
      </c>
      <c r="B51" s="66"/>
      <c r="C51" s="66"/>
      <c r="D51" s="66"/>
      <c r="E51" s="66"/>
      <c r="F51" s="66"/>
      <c r="G51" s="10"/>
      <c r="H51" s="66" t="str">
        <f aca="false">Ausbildungsbetrieb_Email</f>
        <v>⟨E-Mail Betreuer⟩</v>
      </c>
      <c r="I51" s="67"/>
      <c r="J51" s="67"/>
      <c r="K51" s="67"/>
      <c r="L51" s="67"/>
    </row>
    <row r="52" customFormat="false" ht="7.5" hidden="false" customHeight="true" outlineLevel="0" collapsed="false">
      <c r="A52" s="68" t="s">
        <v>38</v>
      </c>
      <c r="B52" s="68"/>
      <c r="C52" s="68"/>
      <c r="D52" s="68"/>
      <c r="E52" s="68"/>
      <c r="F52" s="9"/>
      <c r="G52" s="9"/>
      <c r="H52" s="68" t="s">
        <v>83</v>
      </c>
      <c r="I52" s="68"/>
      <c r="J52" s="68"/>
      <c r="K52" s="68"/>
      <c r="L52" s="68"/>
    </row>
    <row r="53" customFormat="false" ht="7.5" hidden="false" customHeight="true" outlineLevel="0" collapsed="false">
      <c r="A53" s="67"/>
      <c r="B53" s="67"/>
      <c r="C53" s="67"/>
      <c r="D53" s="67"/>
      <c r="E53" s="67"/>
      <c r="F53" s="10"/>
      <c r="G53" s="10"/>
      <c r="H53" s="67"/>
      <c r="I53" s="67"/>
      <c r="J53" s="67"/>
      <c r="K53" s="67"/>
      <c r="L53" s="67"/>
    </row>
    <row r="54" customFormat="false" ht="13.5" hidden="false" customHeight="false" outlineLevel="0" collapsed="false">
      <c r="A54" s="66" t="str">
        <f aca="false">Student_Matrikelnummer</f>
        <v>3399727</v>
      </c>
      <c r="B54" s="66"/>
      <c r="C54" s="66"/>
      <c r="D54" s="66"/>
      <c r="E54" s="66"/>
      <c r="F54" s="66"/>
      <c r="G54" s="10"/>
      <c r="H54" s="66" t="str">
        <f aca="false">Ausbildungsbetrieb_Telefon</f>
        <v>⟨Telefon Betreuer⟩</v>
      </c>
      <c r="I54" s="67"/>
      <c r="J54" s="67"/>
      <c r="K54" s="67"/>
      <c r="L54" s="67"/>
    </row>
    <row r="55" customFormat="false" ht="7.5" hidden="false" customHeight="true" outlineLevel="0" collapsed="false">
      <c r="A55" s="68" t="s">
        <v>42</v>
      </c>
      <c r="B55" s="68"/>
      <c r="C55" s="68"/>
      <c r="D55" s="68"/>
      <c r="E55" s="68"/>
      <c r="F55" s="9"/>
      <c r="G55" s="9"/>
      <c r="H55" s="68" t="s">
        <v>84</v>
      </c>
      <c r="I55" s="68"/>
      <c r="J55" s="68"/>
      <c r="K55" s="68"/>
      <c r="L55" s="68"/>
    </row>
    <row r="56" customFormat="false" ht="7.5" hidden="false" customHeight="true" outlineLevel="0" collapsed="false">
      <c r="A56" s="67"/>
      <c r="B56" s="67"/>
      <c r="C56" s="67"/>
      <c r="D56" s="67"/>
      <c r="E56" s="67"/>
      <c r="F56" s="10"/>
      <c r="G56" s="10"/>
      <c r="H56" s="67"/>
      <c r="I56" s="67"/>
      <c r="J56" s="67"/>
      <c r="K56" s="67"/>
      <c r="L56" s="67"/>
    </row>
    <row r="57" customFormat="false" ht="13.5" hidden="false" customHeight="false" outlineLevel="0" collapsed="false">
      <c r="A57" s="69"/>
      <c r="B57" s="70"/>
      <c r="C57" s="70"/>
      <c r="D57" s="70"/>
      <c r="E57" s="70" t="s">
        <v>85</v>
      </c>
      <c r="F57" s="28"/>
      <c r="G57" s="28"/>
      <c r="H57" s="71" t="s">
        <v>86</v>
      </c>
      <c r="I57" s="44"/>
      <c r="J57" s="44"/>
      <c r="K57" s="44"/>
      <c r="L57" s="44"/>
    </row>
    <row r="58" customFormat="false" ht="45" hidden="false" customHeight="true" outlineLevel="0" collapsed="false">
      <c r="A58" s="72" t="s">
        <v>87</v>
      </c>
      <c r="B58" s="72"/>
      <c r="C58" s="73" t="s">
        <v>88</v>
      </c>
      <c r="D58" s="73"/>
      <c r="E58" s="74" t="s">
        <v>89</v>
      </c>
      <c r="F58" s="74"/>
      <c r="G58" s="33"/>
      <c r="H58" s="75" t="s">
        <v>90</v>
      </c>
      <c r="I58" s="44"/>
      <c r="J58" s="44"/>
      <c r="K58" s="44"/>
      <c r="L58" s="44"/>
    </row>
    <row r="59" customFormat="false" ht="39" hidden="false" customHeight="true" outlineLevel="0" collapsed="false">
      <c r="A59" s="35" t="n">
        <f aca="false">A43+1</f>
        <v>29</v>
      </c>
      <c r="B59" s="36" t="str">
        <f aca="false">IF(WEEKDAY(C59,2)=1,"Mo",IF(WEEKDAY(C59,2)=2,"Di",IF(WEEKDAY(C59,2)=3,"Mi",IF(WEEKDAY(C59,2)=4,"Do.",IF(WEEKDAY(C59,2)=5,"Fr.",IF(WEEKDAY(C59,2)=6,"Sa.","So"))))))</f>
        <v>Mo</v>
      </c>
      <c r="C59" s="37" t="n">
        <f aca="false">C43+1</f>
        <v>46111</v>
      </c>
      <c r="D59" s="38" t="s">
        <v>91</v>
      </c>
      <c r="E59" s="39" t="n">
        <v>7.85</v>
      </c>
      <c r="F59" s="40" t="s">
        <v>92</v>
      </c>
      <c r="G59" s="41" t="s">
        <v>93</v>
      </c>
      <c r="H59" s="53" t="s">
        <v>118</v>
      </c>
      <c r="I59" s="43"/>
      <c r="J59" s="43"/>
      <c r="K59" s="43"/>
      <c r="L59" s="43"/>
    </row>
    <row r="60" customFormat="false" ht="26.25" hidden="false" customHeight="true" outlineLevel="0" collapsed="false">
      <c r="A60" s="45" t="n">
        <f aca="false">A59+1</f>
        <v>30</v>
      </c>
      <c r="B60" s="46" t="str">
        <f aca="false">IF(WEEKDAY(C60,2)=1,"Mo",IF(WEEKDAY(C60,2)=2,"Di",IF(WEEKDAY(C60,2)=3,"Mi",IF(WEEKDAY(C60,2)=4,"Do.",IF(WEEKDAY(C60,2)=5,"Fr.",IF(WEEKDAY(C60,2)=6,"Sa.","So"))))))</f>
        <v>Di</v>
      </c>
      <c r="C60" s="47" t="n">
        <f aca="false">C59+1</f>
        <v>46112</v>
      </c>
      <c r="D60" s="48" t="s">
        <v>91</v>
      </c>
      <c r="E60" s="49" t="n">
        <v>8.2</v>
      </c>
      <c r="F60" s="50" t="s">
        <v>92</v>
      </c>
      <c r="G60" s="51" t="s">
        <v>93</v>
      </c>
      <c r="H60" s="53" t="s">
        <v>119</v>
      </c>
      <c r="I60" s="43"/>
      <c r="J60" s="43"/>
      <c r="K60" s="43"/>
      <c r="L60" s="43"/>
    </row>
    <row r="61" customFormat="false" ht="39" hidden="false" customHeight="true" outlineLevel="0" collapsed="false">
      <c r="A61" s="45" t="n">
        <f aca="false">A60+1</f>
        <v>31</v>
      </c>
      <c r="B61" s="46" t="str">
        <f aca="false">IF(WEEKDAY(C61,2)=1,"Mo",IF(WEEKDAY(C61,2)=2,"Di",IF(WEEKDAY(C61,2)=3,"Mi",IF(WEEKDAY(C61,2)=4,"Do.",IF(WEEKDAY(C61,2)=5,"Fr.",IF(WEEKDAY(C61,2)=6,"Sa.","So"))))))</f>
        <v>Mi</v>
      </c>
      <c r="C61" s="47" t="n">
        <f aca="false">C60+1</f>
        <v>46113</v>
      </c>
      <c r="D61" s="48" t="s">
        <v>106</v>
      </c>
      <c r="E61" s="49" t="n">
        <v>5.25</v>
      </c>
      <c r="F61" s="76" t="s">
        <v>92</v>
      </c>
      <c r="G61" s="51" t="s">
        <v>54</v>
      </c>
      <c r="H61" s="53" t="s">
        <v>120</v>
      </c>
      <c r="I61" s="43"/>
      <c r="J61" s="43"/>
      <c r="K61" s="43"/>
      <c r="L61" s="43"/>
    </row>
    <row r="62" customFormat="false" ht="39" hidden="false" customHeight="true" outlineLevel="0" collapsed="false">
      <c r="A62" s="45" t="n">
        <f aca="false">A61+1</f>
        <v>32</v>
      </c>
      <c r="B62" s="46" t="str">
        <f aca="false">IF(WEEKDAY(C62,2)=1,"Mo",IF(WEEKDAY(C62,2)=2,"Di",IF(WEEKDAY(C62,2)=3,"Mi",IF(WEEKDAY(C62,2)=4,"Do.",IF(WEEKDAY(C62,2)=5,"Fr.",IF(WEEKDAY(C62,2)=6,"Sa.","So"))))))</f>
        <v>Do.</v>
      </c>
      <c r="C62" s="47" t="n">
        <f aca="false">C61+1</f>
        <v>46114</v>
      </c>
      <c r="D62" s="48" t="s">
        <v>91</v>
      </c>
      <c r="E62" s="49" t="n">
        <v>9.45</v>
      </c>
      <c r="F62" s="76" t="s">
        <v>92</v>
      </c>
      <c r="G62" s="51" t="s">
        <v>93</v>
      </c>
      <c r="H62" s="53" t="s">
        <v>121</v>
      </c>
      <c r="I62" s="43"/>
      <c r="J62" s="43"/>
      <c r="K62" s="43"/>
      <c r="L62" s="43"/>
    </row>
    <row r="63" customFormat="false" ht="13.5" hidden="false" customHeight="false" outlineLevel="0" collapsed="false">
      <c r="A63" s="45" t="n">
        <f aca="false">A62+1</f>
        <v>33</v>
      </c>
      <c r="B63" s="46" t="str">
        <f aca="false">IF(WEEKDAY(C63,2)=1,"Mo",IF(WEEKDAY(C63,2)=2,"Di",IF(WEEKDAY(C63,2)=3,"Mi",IF(WEEKDAY(C63,2)=4,"Do.",IF(WEEKDAY(C63,2)=5,"Fr.",IF(WEEKDAY(C63,2)=6,"Sa.","So"))))))</f>
        <v>Fr.</v>
      </c>
      <c r="C63" s="47" t="n">
        <f aca="false">C62+1</f>
        <v>46115</v>
      </c>
      <c r="D63" s="48" t="s">
        <v>122</v>
      </c>
      <c r="E63" s="49"/>
      <c r="F63" s="76" t="s">
        <v>92</v>
      </c>
      <c r="G63" s="51" t="s">
        <v>93</v>
      </c>
      <c r="H63" s="52" t="s">
        <v>123</v>
      </c>
      <c r="I63" s="43"/>
      <c r="J63" s="43"/>
      <c r="K63" s="43"/>
      <c r="L63" s="43"/>
    </row>
    <row r="64" customFormat="false" ht="13.5" hidden="false" customHeight="false" outlineLevel="0" collapsed="false">
      <c r="A64" s="45" t="n">
        <f aca="false">A63+1</f>
        <v>34</v>
      </c>
      <c r="B64" s="46" t="str">
        <f aca="false">IF(WEEKDAY(C64,2)=1,"Mo",IF(WEEKDAY(C64,2)=2,"Di",IF(WEEKDAY(C64,2)=3,"Mi",IF(WEEKDAY(C64,2)=4,"Do.",IF(WEEKDAY(C64,2)=5,"Fr.",IF(WEEKDAY(C64,2)=6,"Sa.","So"))))))</f>
        <v>Sa.</v>
      </c>
      <c r="C64" s="47" t="n">
        <f aca="false">C63+1</f>
        <v>46116</v>
      </c>
      <c r="D64" s="48"/>
      <c r="E64" s="49"/>
      <c r="F64" s="76" t="s">
        <v>92</v>
      </c>
      <c r="G64" s="51" t="s">
        <v>93</v>
      </c>
      <c r="H64" s="52"/>
      <c r="I64" s="43"/>
      <c r="J64" s="43"/>
      <c r="K64" s="43"/>
      <c r="L64" s="43"/>
    </row>
    <row r="65" customFormat="false" ht="13.5" hidden="false" customHeight="false" outlineLevel="0" collapsed="false">
      <c r="A65" s="45" t="n">
        <f aca="false">A64+1</f>
        <v>35</v>
      </c>
      <c r="B65" s="46" t="str">
        <f aca="false">IF(WEEKDAY(C65,2)=1,"Mo",IF(WEEKDAY(C65,2)=2,"Di",IF(WEEKDAY(C65,2)=3,"Mi",IF(WEEKDAY(C65,2)=4,"Do.",IF(WEEKDAY(C65,2)=5,"Fr.",IF(WEEKDAY(C65,2)=6,"Sa.","So"))))))</f>
        <v>So</v>
      </c>
      <c r="C65" s="47" t="n">
        <f aca="false">C64+1</f>
        <v>46117</v>
      </c>
      <c r="D65" s="48"/>
      <c r="E65" s="49"/>
      <c r="F65" s="76" t="s">
        <v>92</v>
      </c>
      <c r="G65" s="51" t="s">
        <v>93</v>
      </c>
      <c r="H65" s="52"/>
      <c r="I65" s="43"/>
      <c r="J65" s="43"/>
      <c r="K65" s="43"/>
      <c r="L65" s="43"/>
    </row>
    <row r="66" customFormat="false" ht="39" hidden="false" customHeight="true" outlineLevel="0" collapsed="false">
      <c r="A66" s="45" t="n">
        <f aca="false">A65+1</f>
        <v>36</v>
      </c>
      <c r="B66" s="46" t="str">
        <f aca="false">IF(WEEKDAY(C66,2)=1,"Mo",IF(WEEKDAY(C66,2)=2,"Di",IF(WEEKDAY(C66,2)=3,"Mi",IF(WEEKDAY(C66,2)=4,"Do.",IF(WEEKDAY(C66,2)=5,"Fr.",IF(WEEKDAY(C66,2)=6,"Sa.","So"))))))</f>
        <v>Mo</v>
      </c>
      <c r="C66" s="47" t="n">
        <f aca="false">C65+1</f>
        <v>46118</v>
      </c>
      <c r="D66" s="48" t="s">
        <v>122</v>
      </c>
      <c r="E66" s="49"/>
      <c r="F66" s="76" t="s">
        <v>92</v>
      </c>
      <c r="G66" s="51" t="s">
        <v>93</v>
      </c>
      <c r="H66" s="53" t="s">
        <v>124</v>
      </c>
      <c r="I66" s="43"/>
      <c r="J66" s="43"/>
      <c r="K66" s="43"/>
      <c r="L66" s="43"/>
    </row>
    <row r="67" customFormat="false" ht="39" hidden="false" customHeight="true" outlineLevel="0" collapsed="false">
      <c r="A67" s="45" t="n">
        <f aca="false">A66+1</f>
        <v>37</v>
      </c>
      <c r="B67" s="46" t="str">
        <f aca="false">IF(WEEKDAY(C67,2)=1,"Mo",IF(WEEKDAY(C67,2)=2,"Di",IF(WEEKDAY(C67,2)=3,"Mi",IF(WEEKDAY(C67,2)=4,"Do.",IF(WEEKDAY(C67,2)=5,"Fr.",IF(WEEKDAY(C67,2)=6,"Sa.","So"))))))</f>
        <v>Di</v>
      </c>
      <c r="C67" s="47" t="n">
        <f aca="false">C66+1</f>
        <v>46119</v>
      </c>
      <c r="D67" s="48" t="s">
        <v>91</v>
      </c>
      <c r="E67" s="49" t="n">
        <v>8.1</v>
      </c>
      <c r="F67" s="76" t="s">
        <v>92</v>
      </c>
      <c r="G67" s="51" t="s">
        <v>93</v>
      </c>
      <c r="H67" s="53" t="s">
        <v>125</v>
      </c>
      <c r="I67" s="43"/>
      <c r="J67" s="43"/>
      <c r="K67" s="43"/>
      <c r="L67" s="43"/>
    </row>
    <row r="68" customFormat="false" ht="26.25" hidden="false" customHeight="true" outlineLevel="0" collapsed="false">
      <c r="A68" s="45" t="n">
        <f aca="false">A67+1</f>
        <v>38</v>
      </c>
      <c r="B68" s="46" t="str">
        <f aca="false">IF(WEEKDAY(C68,2)=1,"Mo",IF(WEEKDAY(C68,2)=2,"Di",IF(WEEKDAY(C68,2)=3,"Mi",IF(WEEKDAY(C68,2)=4,"Do.",IF(WEEKDAY(C68,2)=5,"Fr.",IF(WEEKDAY(C68,2)=6,"Sa.","So"))))))</f>
        <v>Mi</v>
      </c>
      <c r="C68" s="47" t="n">
        <f aca="false">C67+1</f>
        <v>46120</v>
      </c>
      <c r="D68" s="48" t="s">
        <v>106</v>
      </c>
      <c r="E68" s="49" t="n">
        <v>5.75</v>
      </c>
      <c r="F68" s="76" t="s">
        <v>92</v>
      </c>
      <c r="G68" s="51" t="s">
        <v>54</v>
      </c>
      <c r="H68" s="53" t="s">
        <v>126</v>
      </c>
      <c r="I68" s="43"/>
      <c r="J68" s="43"/>
      <c r="K68" s="43"/>
      <c r="L68" s="43"/>
    </row>
    <row r="69" customFormat="false" ht="26.25" hidden="false" customHeight="true" outlineLevel="0" collapsed="false">
      <c r="A69" s="45" t="n">
        <f aca="false">A68+1</f>
        <v>39</v>
      </c>
      <c r="B69" s="46" t="str">
        <f aca="false">IF(WEEKDAY(C69,2)=1,"Mo",IF(WEEKDAY(C69,2)=2,"Di",IF(WEEKDAY(C69,2)=3,"Mi",IF(WEEKDAY(C69,2)=4,"Do.",IF(WEEKDAY(C69,2)=5,"Fr.",IF(WEEKDAY(C69,2)=6,"Sa.","So"))))))</f>
        <v>Do.</v>
      </c>
      <c r="C69" s="47" t="n">
        <f aca="false">C68+1</f>
        <v>46121</v>
      </c>
      <c r="D69" s="48" t="s">
        <v>91</v>
      </c>
      <c r="E69" s="49" t="n">
        <v>8.7</v>
      </c>
      <c r="F69" s="76" t="s">
        <v>92</v>
      </c>
      <c r="G69" s="51" t="s">
        <v>93</v>
      </c>
      <c r="H69" s="53" t="s">
        <v>127</v>
      </c>
      <c r="I69" s="43"/>
      <c r="J69" s="43"/>
      <c r="K69" s="43"/>
      <c r="L69" s="43"/>
    </row>
    <row r="70" customFormat="false" ht="26.85" hidden="false" customHeight="false" outlineLevel="0" collapsed="false">
      <c r="A70" s="45" t="n">
        <f aca="false">A69+1</f>
        <v>40</v>
      </c>
      <c r="B70" s="46" t="str">
        <f aca="false">IF(WEEKDAY(C70,2)=1,"Mo",IF(WEEKDAY(C70,2)=2,"Di",IF(WEEKDAY(C70,2)=3,"Mi",IF(WEEKDAY(C70,2)=4,"Do.",IF(WEEKDAY(C70,2)=5,"Fr.",IF(WEEKDAY(C70,2)=6,"Sa.","So"))))))</f>
        <v>Fr.</v>
      </c>
      <c r="C70" s="47" t="n">
        <f aca="false">C69+1</f>
        <v>46122</v>
      </c>
      <c r="D70" s="48" t="s">
        <v>91</v>
      </c>
      <c r="E70" s="49" t="n">
        <v>9.3</v>
      </c>
      <c r="F70" s="76" t="s">
        <v>92</v>
      </c>
      <c r="G70" s="51" t="s">
        <v>93</v>
      </c>
      <c r="H70" s="52" t="s">
        <v>128</v>
      </c>
      <c r="I70" s="43"/>
      <c r="J70" s="43"/>
      <c r="K70" s="43"/>
      <c r="L70" s="43"/>
    </row>
    <row r="71" customFormat="false" ht="13.5" hidden="false" customHeight="false" outlineLevel="0" collapsed="false">
      <c r="A71" s="45" t="n">
        <f aca="false">A70+1</f>
        <v>41</v>
      </c>
      <c r="B71" s="46" t="str">
        <f aca="false">IF(WEEKDAY(C71,2)=1,"Mo",IF(WEEKDAY(C71,2)=2,"Di",IF(WEEKDAY(C71,2)=3,"Mi",IF(WEEKDAY(C71,2)=4,"Do.",IF(WEEKDAY(C71,2)=5,"Fr.",IF(WEEKDAY(C71,2)=6,"Sa.","So"))))))</f>
        <v>Sa.</v>
      </c>
      <c r="C71" s="47" t="n">
        <f aca="false">C70+1</f>
        <v>46123</v>
      </c>
      <c r="D71" s="48"/>
      <c r="E71" s="49"/>
      <c r="F71" s="76" t="s">
        <v>92</v>
      </c>
      <c r="G71" s="51" t="s">
        <v>93</v>
      </c>
      <c r="H71" s="52"/>
      <c r="I71" s="43"/>
      <c r="J71" s="43"/>
      <c r="K71" s="43"/>
      <c r="L71" s="43"/>
    </row>
    <row r="72" customFormat="false" ht="13.5" hidden="false" customHeight="false" outlineLevel="0" collapsed="false">
      <c r="A72" s="45" t="n">
        <f aca="false">A71+1</f>
        <v>42</v>
      </c>
      <c r="B72" s="46" t="str">
        <f aca="false">IF(WEEKDAY(C72,2)=1,"Mo",IF(WEEKDAY(C72,2)=2,"Di",IF(WEEKDAY(C72,2)=3,"Mi",IF(WEEKDAY(C72,2)=4,"Do.",IF(WEEKDAY(C72,2)=5,"Fr.",IF(WEEKDAY(C72,2)=6,"Sa.","So"))))))</f>
        <v>So</v>
      </c>
      <c r="C72" s="47" t="n">
        <f aca="false">C71+1</f>
        <v>46124</v>
      </c>
      <c r="D72" s="48"/>
      <c r="E72" s="49"/>
      <c r="F72" s="76" t="s">
        <v>92</v>
      </c>
      <c r="G72" s="51" t="s">
        <v>93</v>
      </c>
      <c r="H72" s="52"/>
      <c r="I72" s="43"/>
      <c r="J72" s="43"/>
      <c r="K72" s="43"/>
      <c r="L72" s="43"/>
    </row>
    <row r="73" customFormat="false" ht="63.75" hidden="false" customHeight="true" outlineLevel="0" collapsed="false">
      <c r="A73" s="45" t="n">
        <f aca="false">A72+1</f>
        <v>43</v>
      </c>
      <c r="B73" s="46" t="str">
        <f aca="false">IF(WEEKDAY(C73,2)=1,"Mo",IF(WEEKDAY(C73,2)=2,"Di",IF(WEEKDAY(C73,2)=3,"Mi",IF(WEEKDAY(C73,2)=4,"Do.",IF(WEEKDAY(C73,2)=5,"Fr.",IF(WEEKDAY(C73,2)=6,"Sa.","So"))))))</f>
        <v>Mo</v>
      </c>
      <c r="C73" s="47" t="n">
        <f aca="false">C72+1</f>
        <v>46125</v>
      </c>
      <c r="D73" s="48" t="s">
        <v>91</v>
      </c>
      <c r="E73" s="49" t="n">
        <v>8.05</v>
      </c>
      <c r="F73" s="76" t="s">
        <v>92</v>
      </c>
      <c r="G73" s="51" t="s">
        <v>93</v>
      </c>
      <c r="H73" s="53" t="s">
        <v>129</v>
      </c>
      <c r="I73" s="43"/>
      <c r="J73" s="43"/>
      <c r="K73" s="43"/>
      <c r="L73" s="43"/>
    </row>
    <row r="74" customFormat="false" ht="39" hidden="false" customHeight="true" outlineLevel="0" collapsed="false">
      <c r="A74" s="45" t="n">
        <f aca="false">A73+1</f>
        <v>44</v>
      </c>
      <c r="B74" s="46" t="str">
        <f aca="false">IF(WEEKDAY(C74,2)=1,"Mo",IF(WEEKDAY(C74,2)=2,"Di",IF(WEEKDAY(C74,2)=3,"Mi",IF(WEEKDAY(C74,2)=4,"Do.",IF(WEEKDAY(C74,2)=5,"Fr.",IF(WEEKDAY(C74,2)=6,"Sa.","So"))))))</f>
        <v>Di</v>
      </c>
      <c r="C74" s="47" t="n">
        <f aca="false">C73+1</f>
        <v>46126</v>
      </c>
      <c r="D74" s="48" t="s">
        <v>91</v>
      </c>
      <c r="E74" s="49" t="n">
        <v>8.55</v>
      </c>
      <c r="F74" s="76" t="s">
        <v>92</v>
      </c>
      <c r="G74" s="51" t="s">
        <v>93</v>
      </c>
      <c r="H74" s="53" t="s">
        <v>130</v>
      </c>
      <c r="I74" s="43"/>
      <c r="J74" s="43"/>
      <c r="K74" s="43"/>
      <c r="L74" s="43"/>
    </row>
    <row r="75" customFormat="false" ht="39" hidden="false" customHeight="true" outlineLevel="0" collapsed="false">
      <c r="A75" s="45" t="n">
        <f aca="false">A74+1</f>
        <v>45</v>
      </c>
      <c r="B75" s="46" t="str">
        <f aca="false">IF(WEEKDAY(C75,2)=1,"Mo",IF(WEEKDAY(C75,2)=2,"Di",IF(WEEKDAY(C75,2)=3,"Mi",IF(WEEKDAY(C75,2)=4,"Do.",IF(WEEKDAY(C75,2)=5,"Fr.",IF(WEEKDAY(C75,2)=6,"Sa.","So"))))))</f>
        <v>Mi</v>
      </c>
      <c r="C75" s="47" t="n">
        <f aca="false">C74+1</f>
        <v>46127</v>
      </c>
      <c r="D75" s="48" t="s">
        <v>106</v>
      </c>
      <c r="E75" s="49" t="n">
        <v>4.75</v>
      </c>
      <c r="F75" s="76" t="s">
        <v>92</v>
      </c>
      <c r="G75" s="51" t="s">
        <v>54</v>
      </c>
      <c r="H75" s="53" t="s">
        <v>131</v>
      </c>
      <c r="I75" s="43"/>
      <c r="J75" s="43"/>
      <c r="K75" s="43"/>
      <c r="L75" s="43"/>
    </row>
    <row r="76" customFormat="false" ht="39" hidden="false" customHeight="true" outlineLevel="0" collapsed="false">
      <c r="A76" s="45" t="n">
        <f aca="false">A75+1</f>
        <v>46</v>
      </c>
      <c r="B76" s="46" t="str">
        <f aca="false">IF(WEEKDAY(C76,2)=1,"Mo",IF(WEEKDAY(C76,2)=2,"Di",IF(WEEKDAY(C76,2)=3,"Mi",IF(WEEKDAY(C76,2)=4,"Do.",IF(WEEKDAY(C76,2)=5,"Fr.",IF(WEEKDAY(C76,2)=6,"Sa.","So"))))))</f>
        <v>Do.</v>
      </c>
      <c r="C76" s="47" t="n">
        <f aca="false">C75+1</f>
        <v>46128</v>
      </c>
      <c r="D76" s="48" t="s">
        <v>91</v>
      </c>
      <c r="E76" s="49" t="n">
        <v>9.15</v>
      </c>
      <c r="F76" s="76" t="s">
        <v>92</v>
      </c>
      <c r="G76" s="51" t="s">
        <v>93</v>
      </c>
      <c r="H76" s="53" t="s">
        <v>132</v>
      </c>
      <c r="I76" s="43"/>
      <c r="J76" s="43"/>
      <c r="K76" s="43"/>
      <c r="L76" s="43"/>
    </row>
    <row r="77" customFormat="false" ht="26.85" hidden="false" customHeight="false" outlineLevel="0" collapsed="false">
      <c r="A77" s="45" t="n">
        <f aca="false">A76+1</f>
        <v>47</v>
      </c>
      <c r="B77" s="46" t="str">
        <f aca="false">IF(WEEKDAY(C77,2)=1,"Mo",IF(WEEKDAY(C77,2)=2,"Di",IF(WEEKDAY(C77,2)=3,"Mi",IF(WEEKDAY(C77,2)=4,"Do.",IF(WEEKDAY(C77,2)=5,"Fr.",IF(WEEKDAY(C77,2)=6,"Sa.","So"))))))</f>
        <v>Fr.</v>
      </c>
      <c r="C77" s="47" t="n">
        <f aca="false">C76+1</f>
        <v>46129</v>
      </c>
      <c r="D77" s="48" t="s">
        <v>91</v>
      </c>
      <c r="E77" s="49" t="n">
        <v>7.95</v>
      </c>
      <c r="F77" s="76" t="s">
        <v>92</v>
      </c>
      <c r="G77" s="51" t="s">
        <v>93</v>
      </c>
      <c r="H77" s="52" t="s">
        <v>133</v>
      </c>
      <c r="I77" s="43"/>
      <c r="J77" s="43"/>
      <c r="K77" s="43"/>
      <c r="L77" s="43"/>
    </row>
    <row r="78" customFormat="false" ht="13.5" hidden="false" customHeight="false" outlineLevel="0" collapsed="false">
      <c r="A78" s="45" t="n">
        <f aca="false">A77+1</f>
        <v>48</v>
      </c>
      <c r="B78" s="46" t="str">
        <f aca="false">IF(WEEKDAY(C78,2)=1,"Mo",IF(WEEKDAY(C78,2)=2,"Di",IF(WEEKDAY(C78,2)=3,"Mi",IF(WEEKDAY(C78,2)=4,"Do.",IF(WEEKDAY(C78,2)=5,"Fr.",IF(WEEKDAY(C78,2)=6,"Sa.","So"))))))</f>
        <v>Sa.</v>
      </c>
      <c r="C78" s="47" t="n">
        <f aca="false">C77+1</f>
        <v>46130</v>
      </c>
      <c r="D78" s="48"/>
      <c r="E78" s="49"/>
      <c r="F78" s="76" t="s">
        <v>92</v>
      </c>
      <c r="G78" s="51" t="s">
        <v>93</v>
      </c>
      <c r="H78" s="52"/>
      <c r="I78" s="43"/>
      <c r="J78" s="43"/>
      <c r="K78" s="43"/>
      <c r="L78" s="43"/>
    </row>
    <row r="79" customFormat="false" ht="13.5" hidden="false" customHeight="false" outlineLevel="0" collapsed="false">
      <c r="A79" s="45" t="n">
        <f aca="false">A78+1</f>
        <v>49</v>
      </c>
      <c r="B79" s="46" t="str">
        <f aca="false">IF(WEEKDAY(C79,2)=1,"Mo",IF(WEEKDAY(C79,2)=2,"Di",IF(WEEKDAY(C79,2)=3,"Mi",IF(WEEKDAY(C79,2)=4,"Do.",IF(WEEKDAY(C79,2)=5,"Fr.",IF(WEEKDAY(C79,2)=6,"Sa.","So"))))))</f>
        <v>So</v>
      </c>
      <c r="C79" s="47" t="n">
        <f aca="false">C78+1</f>
        <v>46131</v>
      </c>
      <c r="D79" s="48"/>
      <c r="E79" s="49"/>
      <c r="F79" s="76" t="s">
        <v>92</v>
      </c>
      <c r="G79" s="51" t="s">
        <v>93</v>
      </c>
      <c r="H79" s="52"/>
      <c r="I79" s="43"/>
      <c r="J79" s="43"/>
      <c r="K79" s="43"/>
      <c r="L79" s="43"/>
    </row>
    <row r="80" customFormat="false" ht="13.5" hidden="false" customHeight="false" outlineLevel="0" collapsed="false">
      <c r="A80" s="45" t="n">
        <f aca="false">A79+1</f>
        <v>50</v>
      </c>
      <c r="B80" s="46" t="str">
        <f aca="false">IF(WEEKDAY(C80,2)=1,"Mo",IF(WEEKDAY(C80,2)=2,"Di",IF(WEEKDAY(C80,2)=3,"Mi",IF(WEEKDAY(C80,2)=4,"Do.",IF(WEEKDAY(C80,2)=5,"Fr.",IF(WEEKDAY(C80,2)=6,"Sa.","So"))))))</f>
        <v>Mo</v>
      </c>
      <c r="C80" s="47" t="n">
        <f aca="false">C79+1</f>
        <v>46132</v>
      </c>
      <c r="D80" s="48" t="s">
        <v>91</v>
      </c>
      <c r="E80" s="49" t="n">
        <v>8.35</v>
      </c>
      <c r="F80" s="76" t="s">
        <v>92</v>
      </c>
      <c r="G80" s="51" t="s">
        <v>93</v>
      </c>
      <c r="H80" s="52" t="s">
        <v>134</v>
      </c>
      <c r="I80" s="43"/>
      <c r="J80" s="43"/>
      <c r="K80" s="43"/>
      <c r="L80" s="43"/>
    </row>
    <row r="81" customFormat="false" ht="39.55" hidden="false" customHeight="false" outlineLevel="0" collapsed="false">
      <c r="A81" s="45" t="n">
        <f aca="false">A80+1</f>
        <v>51</v>
      </c>
      <c r="B81" s="46" t="str">
        <f aca="false">IF(WEEKDAY(C81,2)=1,"Mo",IF(WEEKDAY(C81,2)=2,"Di",IF(WEEKDAY(C81,2)=3,"Mi",IF(WEEKDAY(C81,2)=4,"Do.",IF(WEEKDAY(C81,2)=5,"Fr.",IF(WEEKDAY(C81,2)=6,"Sa.","So"))))))</f>
        <v>Di</v>
      </c>
      <c r="C81" s="47" t="n">
        <f aca="false">C80+1</f>
        <v>46133</v>
      </c>
      <c r="D81" s="48" t="s">
        <v>91</v>
      </c>
      <c r="E81" s="49" t="n">
        <v>9.35</v>
      </c>
      <c r="F81" s="76" t="s">
        <v>92</v>
      </c>
      <c r="G81" s="51" t="s">
        <v>93</v>
      </c>
      <c r="H81" s="52" t="s">
        <v>135</v>
      </c>
      <c r="I81" s="43"/>
      <c r="J81" s="43"/>
      <c r="K81" s="43"/>
      <c r="L81" s="43"/>
    </row>
    <row r="82" customFormat="false" ht="39.55" hidden="false" customHeight="false" outlineLevel="0" collapsed="false">
      <c r="A82" s="45" t="n">
        <f aca="false">A81+1</f>
        <v>52</v>
      </c>
      <c r="B82" s="46" t="str">
        <f aca="false">IF(WEEKDAY(C82,2)=1,"Mo",IF(WEEKDAY(C82,2)=2,"Di",IF(WEEKDAY(C82,2)=3,"Mi",IF(WEEKDAY(C82,2)=4,"Do.",IF(WEEKDAY(C82,2)=5,"Fr.",IF(WEEKDAY(C82,2)=6,"Sa.","So"))))))</f>
        <v>Mi</v>
      </c>
      <c r="C82" s="47" t="n">
        <f aca="false">C81+1</f>
        <v>46134</v>
      </c>
      <c r="D82" s="48" t="s">
        <v>106</v>
      </c>
      <c r="E82" s="49" t="n">
        <v>5</v>
      </c>
      <c r="F82" s="76" t="s">
        <v>92</v>
      </c>
      <c r="G82" s="51" t="s">
        <v>54</v>
      </c>
      <c r="H82" s="52" t="s">
        <v>136</v>
      </c>
      <c r="I82" s="43"/>
      <c r="J82" s="43"/>
      <c r="K82" s="43"/>
      <c r="L82" s="43"/>
    </row>
    <row r="83" customFormat="false" ht="26.85" hidden="false" customHeight="false" outlineLevel="0" collapsed="false">
      <c r="A83" s="45" t="n">
        <f aca="false">A82+1</f>
        <v>53</v>
      </c>
      <c r="B83" s="46" t="str">
        <f aca="false">IF(WEEKDAY(C83,2)=1,"Mo",IF(WEEKDAY(C83,2)=2,"Di",IF(WEEKDAY(C83,2)=3,"Mi",IF(WEEKDAY(C83,2)=4,"Do.",IF(WEEKDAY(C83,2)=5,"Fr.",IF(WEEKDAY(C83,2)=6,"Sa.","So"))))))</f>
        <v>Do.</v>
      </c>
      <c r="C83" s="47" t="n">
        <f aca="false">C82+1</f>
        <v>46135</v>
      </c>
      <c r="D83" s="48" t="s">
        <v>91</v>
      </c>
      <c r="E83" s="49" t="n">
        <v>8.65</v>
      </c>
      <c r="F83" s="76" t="s">
        <v>92</v>
      </c>
      <c r="G83" s="51" t="s">
        <v>93</v>
      </c>
      <c r="H83" s="52" t="s">
        <v>137</v>
      </c>
      <c r="I83" s="43"/>
      <c r="J83" s="43"/>
      <c r="K83" s="43"/>
      <c r="L83" s="43"/>
    </row>
    <row r="84" customFormat="false" ht="26.85" hidden="false" customHeight="false" outlineLevel="0" collapsed="false">
      <c r="A84" s="45" t="n">
        <f aca="false">A83+1</f>
        <v>54</v>
      </c>
      <c r="B84" s="46" t="str">
        <f aca="false">IF(WEEKDAY(C84,2)=1,"Mo",IF(WEEKDAY(C84,2)=2,"Di",IF(WEEKDAY(C84,2)=3,"Mi",IF(WEEKDAY(C84,2)=4,"Do.",IF(WEEKDAY(C84,2)=5,"Fr.",IF(WEEKDAY(C84,2)=6,"Sa.","So"))))))</f>
        <v>Fr.</v>
      </c>
      <c r="C84" s="47" t="n">
        <f aca="false">C83+1</f>
        <v>46136</v>
      </c>
      <c r="D84" s="48" t="s">
        <v>91</v>
      </c>
      <c r="E84" s="49" t="n">
        <v>8.5</v>
      </c>
      <c r="F84" s="76" t="s">
        <v>92</v>
      </c>
      <c r="G84" s="51" t="s">
        <v>93</v>
      </c>
      <c r="H84" s="52" t="s">
        <v>138</v>
      </c>
      <c r="I84" s="43"/>
      <c r="J84" s="43"/>
      <c r="K84" s="43"/>
      <c r="L84" s="43"/>
    </row>
    <row r="85" customFormat="false" ht="13.5" hidden="false" customHeight="false" outlineLevel="0" collapsed="false">
      <c r="A85" s="45" t="n">
        <f aca="false">A84+1</f>
        <v>55</v>
      </c>
      <c r="B85" s="46" t="str">
        <f aca="false">IF(WEEKDAY(C85,2)=1,"Mo",IF(WEEKDAY(C85,2)=2,"Di",IF(WEEKDAY(C85,2)=3,"Mi",IF(WEEKDAY(C85,2)=4,"Do.",IF(WEEKDAY(C85,2)=5,"Fr.",IF(WEEKDAY(C85,2)=6,"Sa.","So"))))))</f>
        <v>Sa.</v>
      </c>
      <c r="C85" s="47" t="n">
        <f aca="false">C84+1</f>
        <v>46137</v>
      </c>
      <c r="D85" s="48"/>
      <c r="E85" s="49"/>
      <c r="F85" s="76" t="s">
        <v>92</v>
      </c>
      <c r="G85" s="51" t="s">
        <v>93</v>
      </c>
      <c r="H85" s="52"/>
      <c r="I85" s="43"/>
      <c r="J85" s="43"/>
      <c r="K85" s="43"/>
      <c r="L85" s="43"/>
    </row>
    <row r="86" customFormat="false" ht="14.25" hidden="false" customHeight="true" outlineLevel="0" collapsed="false">
      <c r="A86" s="55" t="n">
        <f aca="false">A85+1</f>
        <v>56</v>
      </c>
      <c r="B86" s="56" t="str">
        <f aca="false">IF(WEEKDAY(C86,2)=1,"Mo",IF(WEEKDAY(C86,2)=2,"Di",IF(WEEKDAY(C86,2)=3,"Mi",IF(WEEKDAY(C86,2)=4,"Do.",IF(WEEKDAY(C86,2)=5,"Fr.",IF(WEEKDAY(C86,2)=6,"Sa.","So"))))))</f>
        <v>So</v>
      </c>
      <c r="C86" s="57" t="n">
        <f aca="false">C85+1</f>
        <v>46138</v>
      </c>
      <c r="D86" s="58"/>
      <c r="E86" s="59"/>
      <c r="F86" s="77" t="s">
        <v>92</v>
      </c>
      <c r="G86" s="61" t="s">
        <v>93</v>
      </c>
      <c r="H86" s="62"/>
      <c r="I86" s="43"/>
      <c r="J86" s="43"/>
      <c r="K86" s="43"/>
      <c r="L86" s="43"/>
      <c r="N86" s="63"/>
      <c r="O86" s="64" t="s">
        <v>139</v>
      </c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64"/>
    </row>
    <row r="87" customFormat="false" ht="13.5" hidden="false" customHeight="false" outlineLevel="0" collapsed="false">
      <c r="A87" s="44"/>
      <c r="B87" s="44"/>
      <c r="C87" s="44"/>
      <c r="D87" s="44"/>
      <c r="E87" s="44"/>
      <c r="F87" s="2"/>
      <c r="G87" s="2"/>
      <c r="H87" s="44"/>
      <c r="I87" s="44"/>
      <c r="J87" s="44"/>
      <c r="K87" s="44"/>
      <c r="L87" s="44"/>
      <c r="N87" s="65"/>
      <c r="O87" s="1" t="s">
        <v>117</v>
      </c>
    </row>
    <row r="88" customFormat="false" ht="13.5" hidden="false" customHeight="false" outlineLevel="0" collapsed="false">
      <c r="A88" s="66" t="str">
        <f aca="false">Student_Name</f>
        <v>Hassine</v>
      </c>
      <c r="B88" s="66"/>
      <c r="C88" s="66"/>
      <c r="D88" s="66"/>
      <c r="E88" s="66"/>
      <c r="F88" s="66"/>
      <c r="G88" s="10"/>
      <c r="H88" s="66" t="str">
        <f aca="false">Ausbildungsbetrieb_Unternehmen</f>
        <v>Mechanische Werkstätte Schmidt e.K.</v>
      </c>
      <c r="I88" s="67"/>
      <c r="J88" s="67"/>
      <c r="K88" s="67"/>
      <c r="L88" s="67"/>
    </row>
    <row r="89" customFormat="false" ht="7.5" hidden="false" customHeight="true" outlineLevel="0" collapsed="false">
      <c r="A89" s="68" t="s">
        <v>31</v>
      </c>
      <c r="B89" s="68"/>
      <c r="C89" s="68"/>
      <c r="D89" s="68"/>
      <c r="E89" s="68"/>
      <c r="F89" s="9"/>
      <c r="G89" s="9"/>
      <c r="H89" s="68" t="s">
        <v>32</v>
      </c>
      <c r="I89" s="68"/>
      <c r="J89" s="68"/>
      <c r="K89" s="68"/>
      <c r="L89" s="68"/>
    </row>
    <row r="90" customFormat="false" ht="7.5" hidden="false" customHeight="true" outlineLevel="0" collapsed="false">
      <c r="A90" s="67"/>
      <c r="B90" s="67"/>
      <c r="C90" s="67"/>
      <c r="D90" s="67"/>
      <c r="E90" s="67"/>
      <c r="F90" s="10"/>
      <c r="G90" s="10"/>
      <c r="H90" s="67"/>
      <c r="I90" s="67"/>
      <c r="J90" s="67"/>
      <c r="K90" s="67"/>
      <c r="L90" s="67"/>
    </row>
    <row r="91" customFormat="false" ht="13.5" hidden="false" customHeight="false" outlineLevel="0" collapsed="false">
      <c r="A91" s="66" t="str">
        <f aca="false">Student_Vorname</f>
        <v>Houcine</v>
      </c>
      <c r="B91" s="66"/>
      <c r="C91" s="66"/>
      <c r="D91" s="66"/>
      <c r="E91" s="66"/>
      <c r="F91" s="66"/>
      <c r="G91" s="10"/>
      <c r="H91" s="66" t="str">
        <f aca="false">CONCATENATE(Ausbildungsbetrieb_Vorname, " ", Ausbildungsbetrieb_Name)</f>
        <v>Amine Halloul</v>
      </c>
      <c r="I91" s="67"/>
      <c r="J91" s="67"/>
      <c r="K91" s="67"/>
      <c r="L91" s="67"/>
    </row>
    <row r="92" customFormat="false" ht="7.5" hidden="false" customHeight="true" outlineLevel="0" collapsed="false">
      <c r="A92" s="68" t="s">
        <v>34</v>
      </c>
      <c r="B92" s="68"/>
      <c r="C92" s="68"/>
      <c r="D92" s="68"/>
      <c r="E92" s="68"/>
      <c r="F92" s="9"/>
      <c r="G92" s="9"/>
      <c r="H92" s="68" t="s">
        <v>82</v>
      </c>
      <c r="I92" s="68"/>
      <c r="J92" s="68"/>
      <c r="K92" s="68"/>
      <c r="L92" s="68"/>
    </row>
    <row r="93" customFormat="false" ht="7.5" hidden="false" customHeight="true" outlineLevel="0" collapsed="false">
      <c r="A93" s="67"/>
      <c r="B93" s="67"/>
      <c r="C93" s="67"/>
      <c r="D93" s="67"/>
      <c r="E93" s="67"/>
      <c r="F93" s="10"/>
      <c r="G93" s="10"/>
      <c r="H93" s="67"/>
      <c r="I93" s="67"/>
      <c r="J93" s="67"/>
      <c r="K93" s="67"/>
      <c r="L93" s="67"/>
    </row>
    <row r="94" customFormat="false" ht="13.5" hidden="false" customHeight="false" outlineLevel="0" collapsed="false">
      <c r="A94" s="66" t="str">
        <f aca="false">Student_Studiengruppe</f>
        <v>PA6</v>
      </c>
      <c r="B94" s="66"/>
      <c r="C94" s="66"/>
      <c r="D94" s="66"/>
      <c r="E94" s="66"/>
      <c r="F94" s="66"/>
      <c r="G94" s="10"/>
      <c r="H94" s="66" t="str">
        <f aca="false">Ausbildungsbetrieb_Email</f>
        <v>⟨E-Mail Betreuer⟩</v>
      </c>
      <c r="I94" s="67"/>
      <c r="J94" s="67"/>
      <c r="K94" s="67"/>
      <c r="L94" s="67"/>
    </row>
    <row r="95" customFormat="false" ht="7.5" hidden="false" customHeight="true" outlineLevel="0" collapsed="false">
      <c r="A95" s="68" t="s">
        <v>38</v>
      </c>
      <c r="B95" s="68"/>
      <c r="C95" s="68"/>
      <c r="D95" s="68"/>
      <c r="E95" s="68"/>
      <c r="F95" s="9"/>
      <c r="G95" s="9"/>
      <c r="H95" s="68" t="s">
        <v>83</v>
      </c>
      <c r="I95" s="68"/>
      <c r="J95" s="68"/>
      <c r="K95" s="68"/>
      <c r="L95" s="68"/>
    </row>
    <row r="96" customFormat="false" ht="7.5" hidden="false" customHeight="true" outlineLevel="0" collapsed="false">
      <c r="A96" s="67"/>
      <c r="B96" s="67"/>
      <c r="C96" s="67"/>
      <c r="D96" s="67"/>
      <c r="E96" s="67"/>
      <c r="F96" s="10"/>
      <c r="G96" s="10"/>
      <c r="H96" s="67"/>
      <c r="I96" s="67"/>
      <c r="J96" s="67"/>
      <c r="K96" s="67"/>
      <c r="L96" s="67"/>
    </row>
    <row r="97" customFormat="false" ht="13.5" hidden="false" customHeight="false" outlineLevel="0" collapsed="false">
      <c r="A97" s="66" t="str">
        <f aca="false">Student_Matrikelnummer</f>
        <v>3399727</v>
      </c>
      <c r="B97" s="66"/>
      <c r="C97" s="66"/>
      <c r="D97" s="66"/>
      <c r="E97" s="66"/>
      <c r="F97" s="66"/>
      <c r="G97" s="10"/>
      <c r="H97" s="66" t="str">
        <f aca="false">Ausbildungsbetrieb_Telefon</f>
        <v>⟨Telefon Betreuer⟩</v>
      </c>
      <c r="I97" s="67"/>
      <c r="J97" s="67"/>
      <c r="K97" s="67"/>
      <c r="L97" s="67"/>
    </row>
    <row r="98" customFormat="false" ht="7.5" hidden="false" customHeight="true" outlineLevel="0" collapsed="false">
      <c r="A98" s="68" t="s">
        <v>42</v>
      </c>
      <c r="B98" s="68"/>
      <c r="C98" s="68"/>
      <c r="D98" s="68"/>
      <c r="E98" s="68"/>
      <c r="F98" s="9"/>
      <c r="G98" s="9"/>
      <c r="H98" s="68" t="s">
        <v>84</v>
      </c>
      <c r="I98" s="68"/>
      <c r="J98" s="68"/>
      <c r="K98" s="68"/>
      <c r="L98" s="68"/>
    </row>
    <row r="99" customFormat="false" ht="7.5" hidden="false" customHeight="true" outlineLevel="0" collapsed="false">
      <c r="A99" s="67"/>
      <c r="B99" s="67"/>
      <c r="C99" s="67"/>
      <c r="D99" s="67"/>
      <c r="E99" s="67"/>
      <c r="F99" s="10"/>
      <c r="G99" s="10"/>
      <c r="H99" s="67"/>
      <c r="I99" s="67"/>
      <c r="J99" s="67"/>
      <c r="K99" s="67"/>
      <c r="L99" s="67"/>
    </row>
    <row r="100" customFormat="false" ht="13.5" hidden="false" customHeight="false" outlineLevel="0" collapsed="false">
      <c r="A100" s="69"/>
      <c r="B100" s="70"/>
      <c r="C100" s="70"/>
      <c r="D100" s="70"/>
      <c r="E100" s="70" t="s">
        <v>85</v>
      </c>
      <c r="F100" s="28"/>
      <c r="G100" s="28"/>
      <c r="H100" s="71" t="s">
        <v>86</v>
      </c>
      <c r="I100" s="44"/>
      <c r="J100" s="44"/>
      <c r="K100" s="44"/>
      <c r="L100" s="44"/>
    </row>
    <row r="101" customFormat="false" ht="45" hidden="false" customHeight="true" outlineLevel="0" collapsed="false">
      <c r="A101" s="72" t="s">
        <v>87</v>
      </c>
      <c r="B101" s="72"/>
      <c r="C101" s="73" t="s">
        <v>88</v>
      </c>
      <c r="D101" s="73"/>
      <c r="E101" s="74" t="s">
        <v>89</v>
      </c>
      <c r="F101" s="74"/>
      <c r="G101" s="33"/>
      <c r="H101" s="75" t="s">
        <v>90</v>
      </c>
      <c r="I101" s="44"/>
      <c r="J101" s="44"/>
      <c r="K101" s="44"/>
      <c r="L101" s="44"/>
    </row>
    <row r="102" customFormat="false" ht="26.85" hidden="false" customHeight="false" outlineLevel="0" collapsed="false">
      <c r="A102" s="35" t="n">
        <f aca="false">A86+1</f>
        <v>57</v>
      </c>
      <c r="B102" s="36" t="str">
        <f aca="false">IF(WEEKDAY(C102,2)=1,"Mo",IF(WEEKDAY(C102,2)=2,"Di",IF(WEEKDAY(C102,2)=3,"Mi",IF(WEEKDAY(C102,2)=4,"Do.",IF(WEEKDAY(C102,2)=5,"Fr.",IF(WEEKDAY(C102,2)=6,"Sa.","So"))))))</f>
        <v>Mo</v>
      </c>
      <c r="C102" s="37" t="n">
        <f aca="false">C86+1</f>
        <v>46139</v>
      </c>
      <c r="D102" s="38" t="s">
        <v>91</v>
      </c>
      <c r="E102" s="39" t="n">
        <v>9</v>
      </c>
      <c r="F102" s="78" t="s">
        <v>92</v>
      </c>
      <c r="G102" s="41" t="s">
        <v>93</v>
      </c>
      <c r="H102" s="42" t="s">
        <v>140</v>
      </c>
      <c r="I102" s="43"/>
      <c r="J102" s="43"/>
      <c r="K102" s="43"/>
      <c r="L102" s="43"/>
    </row>
    <row r="103" customFormat="false" ht="13.5" hidden="false" customHeight="false" outlineLevel="0" collapsed="false">
      <c r="A103" s="45" t="n">
        <f aca="false">A102+1</f>
        <v>58</v>
      </c>
      <c r="B103" s="46" t="str">
        <f aca="false">IF(WEEKDAY(C103,2)=1,"Mo",IF(WEEKDAY(C103,2)=2,"Di",IF(WEEKDAY(C103,2)=3,"Mi",IF(WEEKDAY(C103,2)=4,"Do.",IF(WEEKDAY(C103,2)=5,"Fr.",IF(WEEKDAY(C103,2)=6,"Sa.","So"))))))</f>
        <v>Di</v>
      </c>
      <c r="C103" s="47" t="n">
        <f aca="false">C102+1</f>
        <v>46140</v>
      </c>
      <c r="D103" s="48" t="s">
        <v>91</v>
      </c>
      <c r="E103" s="49" t="n">
        <v>8.25</v>
      </c>
      <c r="F103" s="76" t="s">
        <v>92</v>
      </c>
      <c r="G103" s="51" t="s">
        <v>93</v>
      </c>
      <c r="H103" s="52" t="s">
        <v>141</v>
      </c>
      <c r="I103" s="43"/>
      <c r="J103" s="43"/>
      <c r="K103" s="43"/>
      <c r="L103" s="43"/>
    </row>
    <row r="104" customFormat="false" ht="13.5" hidden="false" customHeight="false" outlineLevel="0" collapsed="false">
      <c r="A104" s="45" t="n">
        <f aca="false">A103+1</f>
        <v>59</v>
      </c>
      <c r="B104" s="46" t="str">
        <f aca="false">IF(WEEKDAY(C104,2)=1,"Mo",IF(WEEKDAY(C104,2)=2,"Di",IF(WEEKDAY(C104,2)=3,"Mi",IF(WEEKDAY(C104,2)=4,"Do.",IF(WEEKDAY(C104,2)=5,"Fr.",IF(WEEKDAY(C104,2)=6,"Sa.","So"))))))</f>
        <v>Mi</v>
      </c>
      <c r="C104" s="47" t="n">
        <f aca="false">C103+1</f>
        <v>46141</v>
      </c>
      <c r="D104" s="48" t="s">
        <v>106</v>
      </c>
      <c r="E104" s="49" t="n">
        <v>5.6</v>
      </c>
      <c r="F104" s="76" t="s">
        <v>92</v>
      </c>
      <c r="G104" s="51" t="s">
        <v>54</v>
      </c>
      <c r="H104" s="52" t="s">
        <v>142</v>
      </c>
      <c r="I104" s="43"/>
      <c r="J104" s="43"/>
      <c r="K104" s="43"/>
      <c r="L104" s="43"/>
    </row>
    <row r="105" customFormat="false" ht="26.85" hidden="false" customHeight="false" outlineLevel="0" collapsed="false">
      <c r="A105" s="45" t="n">
        <f aca="false">A104+1</f>
        <v>60</v>
      </c>
      <c r="B105" s="46" t="str">
        <f aca="false">IF(WEEKDAY(C105,2)=1,"Mo",IF(WEEKDAY(C105,2)=2,"Di",IF(WEEKDAY(C105,2)=3,"Mi",IF(WEEKDAY(C105,2)=4,"Do.",IF(WEEKDAY(C105,2)=5,"Fr.",IF(WEEKDAY(C105,2)=6,"Sa.","So"))))))</f>
        <v>Do.</v>
      </c>
      <c r="C105" s="47" t="n">
        <f aca="false">C104+1</f>
        <v>46142</v>
      </c>
      <c r="D105" s="48" t="s">
        <v>91</v>
      </c>
      <c r="E105" s="49" t="n">
        <v>9.25</v>
      </c>
      <c r="F105" s="76" t="s">
        <v>92</v>
      </c>
      <c r="G105" s="51" t="s">
        <v>93</v>
      </c>
      <c r="H105" s="52" t="s">
        <v>143</v>
      </c>
      <c r="I105" s="43"/>
      <c r="J105" s="43"/>
      <c r="K105" s="43"/>
      <c r="L105" s="43"/>
    </row>
    <row r="106" customFormat="false" ht="13.5" hidden="false" customHeight="false" outlineLevel="0" collapsed="false">
      <c r="A106" s="45" t="n">
        <f aca="false">A105+1</f>
        <v>61</v>
      </c>
      <c r="B106" s="46" t="str">
        <f aca="false">IF(WEEKDAY(C106,2)=1,"Mo",IF(WEEKDAY(C106,2)=2,"Di",IF(WEEKDAY(C106,2)=3,"Mi",IF(WEEKDAY(C106,2)=4,"Do.",IF(WEEKDAY(C106,2)=5,"Fr.",IF(WEEKDAY(C106,2)=6,"Sa.","So"))))))</f>
        <v>Fr.</v>
      </c>
      <c r="C106" s="47" t="n">
        <f aca="false">C105+1</f>
        <v>46143</v>
      </c>
      <c r="D106" s="48" t="s">
        <v>122</v>
      </c>
      <c r="E106" s="49"/>
      <c r="F106" s="76" t="s">
        <v>92</v>
      </c>
      <c r="G106" s="51" t="s">
        <v>93</v>
      </c>
      <c r="H106" s="52" t="s">
        <v>144</v>
      </c>
      <c r="I106" s="43"/>
      <c r="J106" s="43"/>
      <c r="K106" s="43"/>
      <c r="L106" s="43"/>
    </row>
    <row r="107" customFormat="false" ht="13.5" hidden="false" customHeight="false" outlineLevel="0" collapsed="false">
      <c r="A107" s="45" t="n">
        <f aca="false">A106+1</f>
        <v>62</v>
      </c>
      <c r="B107" s="46" t="str">
        <f aca="false">IF(WEEKDAY(C107,2)=1,"Mo",IF(WEEKDAY(C107,2)=2,"Di",IF(WEEKDAY(C107,2)=3,"Mi",IF(WEEKDAY(C107,2)=4,"Do.",IF(WEEKDAY(C107,2)=5,"Fr.",IF(WEEKDAY(C107,2)=6,"Sa.","So"))))))</f>
        <v>Sa.</v>
      </c>
      <c r="C107" s="47" t="n">
        <f aca="false">C106+1</f>
        <v>46144</v>
      </c>
      <c r="D107" s="48"/>
      <c r="E107" s="49"/>
      <c r="F107" s="76" t="s">
        <v>92</v>
      </c>
      <c r="G107" s="51" t="s">
        <v>93</v>
      </c>
      <c r="H107" s="52"/>
      <c r="I107" s="43"/>
      <c r="J107" s="43"/>
      <c r="K107" s="43"/>
      <c r="L107" s="43"/>
    </row>
    <row r="108" customFormat="false" ht="13.5" hidden="false" customHeight="false" outlineLevel="0" collapsed="false">
      <c r="A108" s="45" t="n">
        <f aca="false">A107+1</f>
        <v>63</v>
      </c>
      <c r="B108" s="46" t="str">
        <f aca="false">IF(WEEKDAY(C108,2)=1,"Mo",IF(WEEKDAY(C108,2)=2,"Di",IF(WEEKDAY(C108,2)=3,"Mi",IF(WEEKDAY(C108,2)=4,"Do.",IF(WEEKDAY(C108,2)=5,"Fr.",IF(WEEKDAY(C108,2)=6,"Sa.","So"))))))</f>
        <v>So</v>
      </c>
      <c r="C108" s="47" t="n">
        <f aca="false">C107+1</f>
        <v>46145</v>
      </c>
      <c r="D108" s="48"/>
      <c r="E108" s="49"/>
      <c r="F108" s="76" t="s">
        <v>92</v>
      </c>
      <c r="G108" s="51" t="s">
        <v>93</v>
      </c>
      <c r="H108" s="52"/>
      <c r="I108" s="43"/>
      <c r="J108" s="43"/>
      <c r="K108" s="43"/>
      <c r="L108" s="43"/>
    </row>
    <row r="109" customFormat="false" ht="39" hidden="false" customHeight="true" outlineLevel="0" collapsed="false">
      <c r="A109" s="45" t="n">
        <f aca="false">A108+1</f>
        <v>64</v>
      </c>
      <c r="B109" s="46" t="str">
        <f aca="false">IF(WEEKDAY(C109,2)=1,"Mo",IF(WEEKDAY(C109,2)=2,"Di",IF(WEEKDAY(C109,2)=3,"Mi",IF(WEEKDAY(C109,2)=4,"Do.",IF(WEEKDAY(C109,2)=5,"Fr.",IF(WEEKDAY(C109,2)=6,"Sa.","So"))))))</f>
        <v>Mo</v>
      </c>
      <c r="C109" s="47" t="n">
        <f aca="false">C108+1</f>
        <v>46146</v>
      </c>
      <c r="D109" s="48" t="s">
        <v>91</v>
      </c>
      <c r="E109" s="49" t="n">
        <v>7.75</v>
      </c>
      <c r="F109" s="76" t="s">
        <v>92</v>
      </c>
      <c r="G109" s="51" t="s">
        <v>93</v>
      </c>
      <c r="H109" s="53" t="s">
        <v>145</v>
      </c>
      <c r="I109" s="43"/>
      <c r="J109" s="43"/>
      <c r="K109" s="43"/>
      <c r="L109" s="43"/>
    </row>
    <row r="110" customFormat="false" ht="39" hidden="false" customHeight="true" outlineLevel="0" collapsed="false">
      <c r="A110" s="45" t="n">
        <f aca="false">A109+1</f>
        <v>65</v>
      </c>
      <c r="B110" s="46" t="str">
        <f aca="false">IF(WEEKDAY(C110,2)=1,"Mo",IF(WEEKDAY(C110,2)=2,"Di",IF(WEEKDAY(C110,2)=3,"Mi",IF(WEEKDAY(C110,2)=4,"Do.",IF(WEEKDAY(C110,2)=5,"Fr.",IF(WEEKDAY(C110,2)=6,"Sa.","So"))))))</f>
        <v>Di</v>
      </c>
      <c r="C110" s="47" t="n">
        <f aca="false">C109+1</f>
        <v>46147</v>
      </c>
      <c r="D110" s="48" t="s">
        <v>91</v>
      </c>
      <c r="E110" s="49" t="n">
        <v>8.75</v>
      </c>
      <c r="F110" s="76" t="s">
        <v>92</v>
      </c>
      <c r="G110" s="51" t="s">
        <v>93</v>
      </c>
      <c r="H110" s="53" t="s">
        <v>146</v>
      </c>
      <c r="I110" s="43"/>
      <c r="J110" s="43"/>
      <c r="K110" s="43"/>
      <c r="L110" s="43"/>
    </row>
    <row r="111" customFormat="false" ht="51" hidden="false" customHeight="true" outlineLevel="0" collapsed="false">
      <c r="A111" s="45" t="n">
        <f aca="false">A110+1</f>
        <v>66</v>
      </c>
      <c r="B111" s="46" t="str">
        <f aca="false">IF(WEEKDAY(C111,2)=1,"Mo",IF(WEEKDAY(C111,2)=2,"Di",IF(WEEKDAY(C111,2)=3,"Mi",IF(WEEKDAY(C111,2)=4,"Do.",IF(WEEKDAY(C111,2)=5,"Fr.",IF(WEEKDAY(C111,2)=6,"Sa.","So"))))))</f>
        <v>Mi</v>
      </c>
      <c r="C111" s="47" t="n">
        <f aca="false">C110+1</f>
        <v>46148</v>
      </c>
      <c r="D111" s="48" t="s">
        <v>106</v>
      </c>
      <c r="E111" s="49" t="n">
        <v>5.3</v>
      </c>
      <c r="F111" s="76" t="s">
        <v>92</v>
      </c>
      <c r="G111" s="51" t="s">
        <v>54</v>
      </c>
      <c r="H111" s="53" t="s">
        <v>147</v>
      </c>
      <c r="I111" s="43"/>
      <c r="J111" s="43"/>
      <c r="K111" s="43"/>
      <c r="L111" s="43"/>
    </row>
    <row r="112" customFormat="false" ht="63.75" hidden="false" customHeight="true" outlineLevel="0" collapsed="false">
      <c r="A112" s="45" t="n">
        <f aca="false">A111+1</f>
        <v>67</v>
      </c>
      <c r="B112" s="46" t="str">
        <f aca="false">IF(WEEKDAY(C112,2)=1,"Mo",IF(WEEKDAY(C112,2)=2,"Di",IF(WEEKDAY(C112,2)=3,"Mi",IF(WEEKDAY(C112,2)=4,"Do.",IF(WEEKDAY(C112,2)=5,"Fr.",IF(WEEKDAY(C112,2)=6,"Sa.","So"))))))</f>
        <v>Do.</v>
      </c>
      <c r="C112" s="47" t="n">
        <f aca="false">C111+1</f>
        <v>46149</v>
      </c>
      <c r="D112" s="48" t="s">
        <v>91</v>
      </c>
      <c r="E112" s="49" t="n">
        <v>9.5</v>
      </c>
      <c r="F112" s="76" t="s">
        <v>92</v>
      </c>
      <c r="G112" s="51" t="s">
        <v>93</v>
      </c>
      <c r="H112" s="53" t="s">
        <v>148</v>
      </c>
      <c r="I112" s="43"/>
      <c r="J112" s="43"/>
      <c r="K112" s="43"/>
      <c r="L112" s="43"/>
    </row>
    <row r="113" customFormat="false" ht="26.85" hidden="false" customHeight="false" outlineLevel="0" collapsed="false">
      <c r="A113" s="45" t="n">
        <f aca="false">A112+1</f>
        <v>68</v>
      </c>
      <c r="B113" s="46" t="str">
        <f aca="false">IF(WEEKDAY(C113,2)=1,"Mo",IF(WEEKDAY(C113,2)=2,"Di",IF(WEEKDAY(C113,2)=3,"Mi",IF(WEEKDAY(C113,2)=4,"Do.",IF(WEEKDAY(C113,2)=5,"Fr.",IF(WEEKDAY(C113,2)=6,"Sa.","So"))))))</f>
        <v>Fr.</v>
      </c>
      <c r="C113" s="47" t="n">
        <f aca="false">C112+1</f>
        <v>46150</v>
      </c>
      <c r="D113" s="48" t="s">
        <v>91</v>
      </c>
      <c r="E113" s="49" t="n">
        <v>8</v>
      </c>
      <c r="F113" s="76" t="s">
        <v>92</v>
      </c>
      <c r="G113" s="51" t="s">
        <v>93</v>
      </c>
      <c r="H113" s="52" t="s">
        <v>149</v>
      </c>
      <c r="I113" s="43"/>
      <c r="J113" s="43"/>
      <c r="K113" s="43"/>
      <c r="L113" s="43"/>
    </row>
    <row r="114" customFormat="false" ht="13.5" hidden="false" customHeight="false" outlineLevel="0" collapsed="false">
      <c r="A114" s="45" t="n">
        <f aca="false">A113+1</f>
        <v>69</v>
      </c>
      <c r="B114" s="46" t="str">
        <f aca="false">IF(WEEKDAY(C114,2)=1,"Mo",IF(WEEKDAY(C114,2)=2,"Di",IF(WEEKDAY(C114,2)=3,"Mi",IF(WEEKDAY(C114,2)=4,"Do.",IF(WEEKDAY(C114,2)=5,"Fr.",IF(WEEKDAY(C114,2)=6,"Sa.","So"))))))</f>
        <v>Sa.</v>
      </c>
      <c r="C114" s="47" t="n">
        <f aca="false">C113+1</f>
        <v>46151</v>
      </c>
      <c r="D114" s="48"/>
      <c r="E114" s="49"/>
      <c r="F114" s="76" t="s">
        <v>92</v>
      </c>
      <c r="G114" s="51" t="s">
        <v>93</v>
      </c>
      <c r="H114" s="52"/>
      <c r="I114" s="43"/>
      <c r="J114" s="43"/>
      <c r="K114" s="43"/>
      <c r="L114" s="43"/>
    </row>
    <row r="115" customFormat="false" ht="13.5" hidden="false" customHeight="false" outlineLevel="0" collapsed="false">
      <c r="A115" s="45" t="n">
        <f aca="false">A114+1</f>
        <v>70</v>
      </c>
      <c r="B115" s="46" t="str">
        <f aca="false">IF(WEEKDAY(C115,2)=1,"Mo",IF(WEEKDAY(C115,2)=2,"Di",IF(WEEKDAY(C115,2)=3,"Mi",IF(WEEKDAY(C115,2)=4,"Do.",IF(WEEKDAY(C115,2)=5,"Fr.",IF(WEEKDAY(C115,2)=6,"Sa.","So"))))))</f>
        <v>So</v>
      </c>
      <c r="C115" s="47" t="n">
        <f aca="false">C114+1</f>
        <v>46152</v>
      </c>
      <c r="D115" s="48"/>
      <c r="E115" s="49"/>
      <c r="F115" s="76" t="s">
        <v>92</v>
      </c>
      <c r="G115" s="51" t="s">
        <v>93</v>
      </c>
      <c r="H115" s="52"/>
      <c r="I115" s="43"/>
      <c r="J115" s="43"/>
      <c r="K115" s="43"/>
      <c r="L115" s="43"/>
    </row>
    <row r="116" customFormat="false" ht="39" hidden="false" customHeight="true" outlineLevel="0" collapsed="false">
      <c r="A116" s="45" t="n">
        <f aca="false">A115+1</f>
        <v>71</v>
      </c>
      <c r="B116" s="46" t="str">
        <f aca="false">IF(WEEKDAY(C116,2)=1,"Mo",IF(WEEKDAY(C116,2)=2,"Di",IF(WEEKDAY(C116,2)=3,"Mi",IF(WEEKDAY(C116,2)=4,"Do.",IF(WEEKDAY(C116,2)=5,"Fr.",IF(WEEKDAY(C116,2)=6,"Sa.","So"))))))</f>
        <v>Mo</v>
      </c>
      <c r="C116" s="47" t="n">
        <f aca="false">C115+1</f>
        <v>46153</v>
      </c>
      <c r="D116" s="48" t="s">
        <v>91</v>
      </c>
      <c r="E116" s="49" t="n">
        <v>8.6</v>
      </c>
      <c r="F116" s="76" t="s">
        <v>92</v>
      </c>
      <c r="G116" s="51" t="s">
        <v>93</v>
      </c>
      <c r="H116" s="53" t="s">
        <v>150</v>
      </c>
      <c r="I116" s="43"/>
      <c r="J116" s="43"/>
      <c r="K116" s="43"/>
      <c r="L116" s="43"/>
    </row>
    <row r="117" customFormat="false" ht="26.25" hidden="false" customHeight="true" outlineLevel="0" collapsed="false">
      <c r="A117" s="45" t="n">
        <f aca="false">A116+1</f>
        <v>72</v>
      </c>
      <c r="B117" s="46" t="str">
        <f aca="false">IF(WEEKDAY(C117,2)=1,"Mo",IF(WEEKDAY(C117,2)=2,"Di",IF(WEEKDAY(C117,2)=3,"Mi",IF(WEEKDAY(C117,2)=4,"Do.",IF(WEEKDAY(C117,2)=5,"Fr.",IF(WEEKDAY(C117,2)=6,"Sa.","So"))))))</f>
        <v>Di</v>
      </c>
      <c r="C117" s="47" t="n">
        <f aca="false">C116+1</f>
        <v>46154</v>
      </c>
      <c r="D117" s="48" t="s">
        <v>91</v>
      </c>
      <c r="E117" s="49" t="n">
        <v>9.05</v>
      </c>
      <c r="F117" s="76" t="s">
        <v>92</v>
      </c>
      <c r="G117" s="51" t="s">
        <v>93</v>
      </c>
      <c r="H117" s="53" t="s">
        <v>151</v>
      </c>
      <c r="I117" s="43"/>
      <c r="J117" s="43"/>
      <c r="K117" s="43"/>
      <c r="L117" s="43"/>
    </row>
    <row r="118" customFormat="false" ht="76.5" hidden="false" customHeight="true" outlineLevel="0" collapsed="false">
      <c r="A118" s="45" t="n">
        <f aca="false">A117+1</f>
        <v>73</v>
      </c>
      <c r="B118" s="46" t="str">
        <f aca="false">IF(WEEKDAY(C118,2)=1,"Mo",IF(WEEKDAY(C118,2)=2,"Di",IF(WEEKDAY(C118,2)=3,"Mi",IF(WEEKDAY(C118,2)=4,"Do.",IF(WEEKDAY(C118,2)=5,"Fr.",IF(WEEKDAY(C118,2)=6,"Sa.","So"))))))</f>
        <v>Mi</v>
      </c>
      <c r="C118" s="47" t="n">
        <f aca="false">C117+1</f>
        <v>46155</v>
      </c>
      <c r="D118" s="48" t="s">
        <v>106</v>
      </c>
      <c r="E118" s="49" t="n">
        <v>5.55</v>
      </c>
      <c r="F118" s="76" t="s">
        <v>92</v>
      </c>
      <c r="G118" s="51" t="s">
        <v>54</v>
      </c>
      <c r="H118" s="53" t="s">
        <v>152</v>
      </c>
      <c r="I118" s="43"/>
      <c r="J118" s="43"/>
      <c r="K118" s="43"/>
      <c r="L118" s="43"/>
    </row>
    <row r="119" customFormat="false" ht="39" hidden="false" customHeight="true" outlineLevel="0" collapsed="false">
      <c r="A119" s="45" t="n">
        <f aca="false">A118+1</f>
        <v>74</v>
      </c>
      <c r="B119" s="46" t="str">
        <f aca="false">IF(WEEKDAY(C119,2)=1,"Mo",IF(WEEKDAY(C119,2)=2,"Di",IF(WEEKDAY(C119,2)=3,"Mi",IF(WEEKDAY(C119,2)=4,"Do.",IF(WEEKDAY(C119,2)=5,"Fr.",IF(WEEKDAY(C119,2)=6,"Sa.","So"))))))</f>
        <v>Do.</v>
      </c>
      <c r="C119" s="47" t="n">
        <f aca="false">C118+1</f>
        <v>46156</v>
      </c>
      <c r="D119" s="48" t="s">
        <v>122</v>
      </c>
      <c r="E119" s="49"/>
      <c r="F119" s="76" t="s">
        <v>92</v>
      </c>
      <c r="G119" s="51" t="s">
        <v>93</v>
      </c>
      <c r="H119" s="53" t="s">
        <v>153</v>
      </c>
      <c r="I119" s="43"/>
      <c r="J119" s="43"/>
      <c r="K119" s="43"/>
      <c r="L119" s="43"/>
    </row>
    <row r="120" customFormat="false" ht="51" hidden="false" customHeight="true" outlineLevel="0" collapsed="false">
      <c r="A120" s="45" t="n">
        <f aca="false">A119+1</f>
        <v>75</v>
      </c>
      <c r="B120" s="46" t="str">
        <f aca="false">IF(WEEKDAY(C120,2)=1,"Mo",IF(WEEKDAY(C120,2)=2,"Di",IF(WEEKDAY(C120,2)=3,"Mi",IF(WEEKDAY(C120,2)=4,"Do.",IF(WEEKDAY(C120,2)=5,"Fr.",IF(WEEKDAY(C120,2)=6,"Sa.","So"))))))</f>
        <v>Fr.</v>
      </c>
      <c r="C120" s="47" t="n">
        <f aca="false">C119+1</f>
        <v>46157</v>
      </c>
      <c r="D120" s="48" t="s">
        <v>91</v>
      </c>
      <c r="E120" s="49" t="n">
        <v>8.3</v>
      </c>
      <c r="F120" s="76" t="s">
        <v>92</v>
      </c>
      <c r="G120" s="51" t="s">
        <v>93</v>
      </c>
      <c r="H120" s="53" t="s">
        <v>154</v>
      </c>
      <c r="I120" s="43"/>
      <c r="J120" s="43"/>
      <c r="K120" s="43"/>
      <c r="L120" s="43"/>
    </row>
    <row r="121" customFormat="false" ht="13.5" hidden="false" customHeight="false" outlineLevel="0" collapsed="false">
      <c r="A121" s="45" t="n">
        <f aca="false">A120+1</f>
        <v>76</v>
      </c>
      <c r="B121" s="46" t="str">
        <f aca="false">IF(WEEKDAY(C121,2)=1,"Mo",IF(WEEKDAY(C121,2)=2,"Di",IF(WEEKDAY(C121,2)=3,"Mi",IF(WEEKDAY(C121,2)=4,"Do.",IF(WEEKDAY(C121,2)=5,"Fr.",IF(WEEKDAY(C121,2)=6,"Sa.","So"))))))</f>
        <v>Sa.</v>
      </c>
      <c r="C121" s="47" t="n">
        <f aca="false">C120+1</f>
        <v>46158</v>
      </c>
      <c r="D121" s="48"/>
      <c r="E121" s="49"/>
      <c r="F121" s="76" t="s">
        <v>92</v>
      </c>
      <c r="G121" s="51" t="s">
        <v>93</v>
      </c>
      <c r="H121" s="52"/>
      <c r="I121" s="43"/>
      <c r="J121" s="43"/>
      <c r="K121" s="43"/>
      <c r="L121" s="43"/>
    </row>
    <row r="122" customFormat="false" ht="13.5" hidden="false" customHeight="false" outlineLevel="0" collapsed="false">
      <c r="A122" s="45" t="n">
        <f aca="false">A121+1</f>
        <v>77</v>
      </c>
      <c r="B122" s="46" t="str">
        <f aca="false">IF(WEEKDAY(C122,2)=1,"Mo",IF(WEEKDAY(C122,2)=2,"Di",IF(WEEKDAY(C122,2)=3,"Mi",IF(WEEKDAY(C122,2)=4,"Do.",IF(WEEKDAY(C122,2)=5,"Fr.",IF(WEEKDAY(C122,2)=6,"Sa.","So"))))))</f>
        <v>So</v>
      </c>
      <c r="C122" s="47" t="n">
        <f aca="false">C121+1</f>
        <v>46159</v>
      </c>
      <c r="D122" s="48"/>
      <c r="E122" s="49"/>
      <c r="F122" s="76" t="s">
        <v>92</v>
      </c>
      <c r="G122" s="51" t="s">
        <v>93</v>
      </c>
      <c r="H122" s="52"/>
      <c r="I122" s="43"/>
      <c r="J122" s="43"/>
      <c r="K122" s="43"/>
      <c r="L122" s="43"/>
    </row>
    <row r="123" customFormat="false" ht="51" hidden="false" customHeight="true" outlineLevel="0" collapsed="false">
      <c r="A123" s="45" t="n">
        <f aca="false">A122+1</f>
        <v>78</v>
      </c>
      <c r="B123" s="46" t="str">
        <f aca="false">IF(WEEKDAY(C123,2)=1,"Mo",IF(WEEKDAY(C123,2)=2,"Di",IF(WEEKDAY(C123,2)=3,"Mi",IF(WEEKDAY(C123,2)=4,"Do.",IF(WEEKDAY(C123,2)=5,"Fr.",IF(WEEKDAY(C123,2)=6,"Sa.","So"))))))</f>
        <v>Mo</v>
      </c>
      <c r="C123" s="47" t="n">
        <f aca="false">C122+1</f>
        <v>46160</v>
      </c>
      <c r="D123" s="48" t="s">
        <v>91</v>
      </c>
      <c r="E123" s="49" t="n">
        <v>7.55</v>
      </c>
      <c r="F123" s="76" t="s">
        <v>92</v>
      </c>
      <c r="G123" s="51" t="s">
        <v>93</v>
      </c>
      <c r="H123" s="53" t="s">
        <v>155</v>
      </c>
      <c r="I123" s="43"/>
      <c r="J123" s="43"/>
      <c r="K123" s="43"/>
      <c r="L123" s="43"/>
    </row>
    <row r="124" customFormat="false" ht="26.85" hidden="false" customHeight="false" outlineLevel="0" collapsed="false">
      <c r="A124" s="45" t="n">
        <f aca="false">A123+1</f>
        <v>79</v>
      </c>
      <c r="B124" s="46" t="str">
        <f aca="false">IF(WEEKDAY(C124,2)=1,"Mo",IF(WEEKDAY(C124,2)=2,"Di",IF(WEEKDAY(C124,2)=3,"Mi",IF(WEEKDAY(C124,2)=4,"Do.",IF(WEEKDAY(C124,2)=5,"Fr.",IF(WEEKDAY(C124,2)=6,"Sa.","So"))))))</f>
        <v>Di</v>
      </c>
      <c r="C124" s="47" t="n">
        <f aca="false">C123+1</f>
        <v>46161</v>
      </c>
      <c r="D124" s="48" t="s">
        <v>91</v>
      </c>
      <c r="E124" s="49" t="n">
        <v>8.8</v>
      </c>
      <c r="F124" s="76" t="s">
        <v>92</v>
      </c>
      <c r="G124" s="51" t="s">
        <v>93</v>
      </c>
      <c r="H124" s="52" t="s">
        <v>156</v>
      </c>
      <c r="I124" s="43"/>
      <c r="J124" s="43"/>
      <c r="K124" s="43"/>
      <c r="L124" s="43"/>
    </row>
    <row r="125" customFormat="false" ht="13.5" hidden="false" customHeight="false" outlineLevel="0" collapsed="false">
      <c r="A125" s="45" t="n">
        <f aca="false">A124+1</f>
        <v>80</v>
      </c>
      <c r="B125" s="46" t="str">
        <f aca="false">IF(WEEKDAY(C125,2)=1,"Mo",IF(WEEKDAY(C125,2)=2,"Di",IF(WEEKDAY(C125,2)=3,"Mi",IF(WEEKDAY(C125,2)=4,"Do.",IF(WEEKDAY(C125,2)=5,"Fr.",IF(WEEKDAY(C125,2)=6,"Sa.","So"))))))</f>
        <v>Mi</v>
      </c>
      <c r="C125" s="47" t="n">
        <f aca="false">C124+1</f>
        <v>46162</v>
      </c>
      <c r="D125" s="48" t="s">
        <v>106</v>
      </c>
      <c r="E125" s="49" t="n">
        <v>4.9</v>
      </c>
      <c r="F125" s="76" t="s">
        <v>92</v>
      </c>
      <c r="G125" s="51" t="s">
        <v>54</v>
      </c>
      <c r="H125" s="52" t="s">
        <v>157</v>
      </c>
      <c r="I125" s="43"/>
      <c r="J125" s="43"/>
      <c r="K125" s="43"/>
      <c r="L125" s="43"/>
    </row>
    <row r="126" customFormat="false" ht="13.5" hidden="false" customHeight="false" outlineLevel="0" collapsed="false">
      <c r="A126" s="45" t="n">
        <f aca="false">A125+1</f>
        <v>81</v>
      </c>
      <c r="B126" s="46" t="str">
        <f aca="false">IF(WEEKDAY(C126,2)=1,"Mo",IF(WEEKDAY(C126,2)=2,"Di",IF(WEEKDAY(C126,2)=3,"Mi",IF(WEEKDAY(C126,2)=4,"Do.",IF(WEEKDAY(C126,2)=5,"Fr.",IF(WEEKDAY(C126,2)=6,"Sa.","So"))))))</f>
        <v>Do.</v>
      </c>
      <c r="C126" s="47" t="n">
        <f aca="false">C125+1</f>
        <v>46163</v>
      </c>
      <c r="D126" s="48" t="s">
        <v>91</v>
      </c>
      <c r="E126" s="49" t="n">
        <v>9.2</v>
      </c>
      <c r="F126" s="76" t="s">
        <v>92</v>
      </c>
      <c r="G126" s="51" t="s">
        <v>93</v>
      </c>
      <c r="H126" s="52" t="s">
        <v>158</v>
      </c>
      <c r="I126" s="43"/>
      <c r="J126" s="43"/>
      <c r="K126" s="43"/>
      <c r="L126" s="43"/>
    </row>
    <row r="127" customFormat="false" ht="13.5" hidden="false" customHeight="false" outlineLevel="0" collapsed="false">
      <c r="A127" s="45" t="n">
        <f aca="false">A126+1</f>
        <v>82</v>
      </c>
      <c r="B127" s="46" t="str">
        <f aca="false">IF(WEEKDAY(C127,2)=1,"Mo",IF(WEEKDAY(C127,2)=2,"Di",IF(WEEKDAY(C127,2)=3,"Mi",IF(WEEKDAY(C127,2)=4,"Do.",IF(WEEKDAY(C127,2)=5,"Fr.",IF(WEEKDAY(C127,2)=6,"Sa.","So"))))))</f>
        <v>Fr.</v>
      </c>
      <c r="C127" s="47" t="n">
        <f aca="false">C126+1</f>
        <v>46164</v>
      </c>
      <c r="D127" s="48" t="s">
        <v>91</v>
      </c>
      <c r="E127" s="49" t="n">
        <v>8.45</v>
      </c>
      <c r="F127" s="76" t="s">
        <v>92</v>
      </c>
      <c r="G127" s="51" t="s">
        <v>93</v>
      </c>
      <c r="H127" s="52" t="s">
        <v>159</v>
      </c>
      <c r="I127" s="43"/>
      <c r="J127" s="43"/>
      <c r="K127" s="43"/>
      <c r="L127" s="43"/>
    </row>
    <row r="128" customFormat="false" ht="13.5" hidden="false" customHeight="false" outlineLevel="0" collapsed="false">
      <c r="A128" s="45" t="n">
        <f aca="false">A127+1</f>
        <v>83</v>
      </c>
      <c r="B128" s="46" t="str">
        <f aca="false">IF(WEEKDAY(C128,2)=1,"Mo",IF(WEEKDAY(C128,2)=2,"Di",IF(WEEKDAY(C128,2)=3,"Mi",IF(WEEKDAY(C128,2)=4,"Do.",IF(WEEKDAY(C128,2)=5,"Fr.",IF(WEEKDAY(C128,2)=6,"Sa.","So"))))))</f>
        <v>Sa.</v>
      </c>
      <c r="C128" s="47" t="n">
        <f aca="false">C127+1</f>
        <v>46165</v>
      </c>
      <c r="D128" s="48"/>
      <c r="E128" s="49"/>
      <c r="F128" s="76" t="s">
        <v>92</v>
      </c>
      <c r="G128" s="51" t="s">
        <v>93</v>
      </c>
      <c r="H128" s="52"/>
      <c r="I128" s="43"/>
      <c r="J128" s="43"/>
      <c r="K128" s="43"/>
      <c r="L128" s="43"/>
    </row>
    <row r="129" customFormat="false" ht="14.25" hidden="false" customHeight="true" outlineLevel="0" collapsed="false">
      <c r="A129" s="55" t="n">
        <f aca="false">A128+1</f>
        <v>84</v>
      </c>
      <c r="B129" s="56" t="str">
        <f aca="false">IF(WEEKDAY(C129,2)=1,"Mo",IF(WEEKDAY(C129,2)=2,"Di",IF(WEEKDAY(C129,2)=3,"Mi",IF(WEEKDAY(C129,2)=4,"Do.",IF(WEEKDAY(C129,2)=5,"Fr.",IF(WEEKDAY(C129,2)=6,"Sa.","So"))))))</f>
        <v>So</v>
      </c>
      <c r="C129" s="57" t="n">
        <f aca="false">C128+1</f>
        <v>46166</v>
      </c>
      <c r="D129" s="58"/>
      <c r="E129" s="59"/>
      <c r="F129" s="77" t="s">
        <v>92</v>
      </c>
      <c r="G129" s="61" t="s">
        <v>93</v>
      </c>
      <c r="H129" s="62"/>
      <c r="I129" s="43"/>
      <c r="J129" s="43"/>
      <c r="K129" s="43"/>
      <c r="L129" s="43"/>
      <c r="N129" s="63"/>
      <c r="O129" s="64" t="s">
        <v>160</v>
      </c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64"/>
    </row>
    <row r="130" customFormat="false" ht="13.5" hidden="false" customHeight="false" outlineLevel="0" collapsed="false">
      <c r="A130" s="44"/>
      <c r="B130" s="44"/>
      <c r="C130" s="44"/>
      <c r="D130" s="44"/>
      <c r="E130" s="44"/>
      <c r="F130" s="2"/>
      <c r="G130" s="2"/>
      <c r="H130" s="44"/>
      <c r="I130" s="44"/>
      <c r="J130" s="44"/>
      <c r="K130" s="44"/>
      <c r="L130" s="44"/>
      <c r="N130" s="65"/>
      <c r="O130" s="1" t="s">
        <v>117</v>
      </c>
    </row>
    <row r="131" customFormat="false" ht="13.5" hidden="false" customHeight="false" outlineLevel="0" collapsed="false">
      <c r="A131" s="66" t="str">
        <f aca="false">Student_Name</f>
        <v>Hassine</v>
      </c>
      <c r="B131" s="66"/>
      <c r="C131" s="66"/>
      <c r="D131" s="66"/>
      <c r="E131" s="66"/>
      <c r="F131" s="66"/>
      <c r="G131" s="10"/>
      <c r="H131" s="66" t="str">
        <f aca="false">Ausbildungsbetrieb_Unternehmen</f>
        <v>Mechanische Werkstätte Schmidt e.K.</v>
      </c>
      <c r="I131" s="67"/>
      <c r="J131" s="67"/>
      <c r="K131" s="67"/>
      <c r="L131" s="67"/>
    </row>
    <row r="132" customFormat="false" ht="7.5" hidden="false" customHeight="true" outlineLevel="0" collapsed="false">
      <c r="A132" s="68" t="s">
        <v>31</v>
      </c>
      <c r="B132" s="68"/>
      <c r="C132" s="68"/>
      <c r="D132" s="68"/>
      <c r="E132" s="68"/>
      <c r="F132" s="9"/>
      <c r="G132" s="9"/>
      <c r="H132" s="68" t="s">
        <v>32</v>
      </c>
      <c r="I132" s="68"/>
      <c r="J132" s="68"/>
      <c r="K132" s="68"/>
      <c r="L132" s="68"/>
    </row>
    <row r="133" customFormat="false" ht="7.5" hidden="false" customHeight="true" outlineLevel="0" collapsed="false">
      <c r="A133" s="67"/>
      <c r="B133" s="67"/>
      <c r="C133" s="67"/>
      <c r="D133" s="67"/>
      <c r="E133" s="67"/>
      <c r="F133" s="10"/>
      <c r="G133" s="10"/>
      <c r="H133" s="67"/>
      <c r="I133" s="67"/>
      <c r="J133" s="67"/>
      <c r="K133" s="67"/>
      <c r="L133" s="67"/>
    </row>
    <row r="134" customFormat="false" ht="13.5" hidden="false" customHeight="false" outlineLevel="0" collapsed="false">
      <c r="A134" s="66" t="str">
        <f aca="false">Student_Vorname</f>
        <v>Houcine</v>
      </c>
      <c r="B134" s="66"/>
      <c r="C134" s="66"/>
      <c r="D134" s="66"/>
      <c r="E134" s="66"/>
      <c r="F134" s="66"/>
      <c r="G134" s="10"/>
      <c r="H134" s="66" t="str">
        <f aca="false">CONCATENATE(Ausbildungsbetrieb_Vorname, " ", Ausbildungsbetrieb_Name)</f>
        <v>Amine Halloul</v>
      </c>
      <c r="I134" s="67"/>
      <c r="J134" s="67"/>
      <c r="K134" s="67"/>
      <c r="L134" s="67"/>
    </row>
    <row r="135" customFormat="false" ht="7.5" hidden="false" customHeight="true" outlineLevel="0" collapsed="false">
      <c r="A135" s="68" t="s">
        <v>34</v>
      </c>
      <c r="B135" s="68"/>
      <c r="C135" s="68"/>
      <c r="D135" s="68"/>
      <c r="E135" s="68"/>
      <c r="F135" s="9"/>
      <c r="G135" s="9"/>
      <c r="H135" s="68" t="s">
        <v>82</v>
      </c>
      <c r="I135" s="68"/>
      <c r="J135" s="68"/>
      <c r="K135" s="68"/>
      <c r="L135" s="68"/>
    </row>
    <row r="136" customFormat="false" ht="7.5" hidden="false" customHeight="true" outlineLevel="0" collapsed="false">
      <c r="A136" s="67"/>
      <c r="B136" s="67"/>
      <c r="C136" s="67"/>
      <c r="D136" s="67"/>
      <c r="E136" s="67"/>
      <c r="F136" s="10"/>
      <c r="G136" s="10"/>
      <c r="H136" s="67"/>
      <c r="I136" s="67"/>
      <c r="J136" s="67"/>
      <c r="K136" s="67"/>
      <c r="L136" s="67"/>
    </row>
    <row r="137" customFormat="false" ht="13.5" hidden="false" customHeight="false" outlineLevel="0" collapsed="false">
      <c r="A137" s="66" t="str">
        <f aca="false">Student_Studiengruppe</f>
        <v>PA6</v>
      </c>
      <c r="B137" s="66"/>
      <c r="C137" s="66"/>
      <c r="D137" s="66"/>
      <c r="E137" s="66"/>
      <c r="F137" s="66"/>
      <c r="G137" s="10"/>
      <c r="H137" s="66" t="str">
        <f aca="false">Ausbildungsbetrieb_Email</f>
        <v>⟨E-Mail Betreuer⟩</v>
      </c>
      <c r="I137" s="67"/>
      <c r="J137" s="67"/>
      <c r="K137" s="67"/>
      <c r="L137" s="67"/>
    </row>
    <row r="138" customFormat="false" ht="7.5" hidden="false" customHeight="true" outlineLevel="0" collapsed="false">
      <c r="A138" s="68" t="s">
        <v>38</v>
      </c>
      <c r="B138" s="68"/>
      <c r="C138" s="68"/>
      <c r="D138" s="68"/>
      <c r="E138" s="68"/>
      <c r="F138" s="9"/>
      <c r="G138" s="9"/>
      <c r="H138" s="68" t="s">
        <v>83</v>
      </c>
      <c r="I138" s="68"/>
      <c r="J138" s="68"/>
      <c r="K138" s="68"/>
      <c r="L138" s="68"/>
    </row>
    <row r="139" customFormat="false" ht="7.5" hidden="false" customHeight="true" outlineLevel="0" collapsed="false">
      <c r="A139" s="67"/>
      <c r="B139" s="67"/>
      <c r="C139" s="67"/>
      <c r="D139" s="67"/>
      <c r="E139" s="67"/>
      <c r="F139" s="10"/>
      <c r="G139" s="10"/>
      <c r="H139" s="67"/>
      <c r="I139" s="67"/>
      <c r="J139" s="67"/>
      <c r="K139" s="67"/>
      <c r="L139" s="67"/>
    </row>
    <row r="140" customFormat="false" ht="13.5" hidden="false" customHeight="false" outlineLevel="0" collapsed="false">
      <c r="A140" s="66" t="str">
        <f aca="false">Student_Matrikelnummer</f>
        <v>3399727</v>
      </c>
      <c r="B140" s="66"/>
      <c r="C140" s="66"/>
      <c r="D140" s="66"/>
      <c r="E140" s="66"/>
      <c r="F140" s="66"/>
      <c r="G140" s="10"/>
      <c r="H140" s="66" t="str">
        <f aca="false">Ausbildungsbetrieb_Telefon</f>
        <v>⟨Telefon Betreuer⟩</v>
      </c>
      <c r="I140" s="67"/>
      <c r="J140" s="67"/>
      <c r="K140" s="67"/>
      <c r="L140" s="67"/>
    </row>
    <row r="141" customFormat="false" ht="7.5" hidden="false" customHeight="true" outlineLevel="0" collapsed="false">
      <c r="A141" s="68" t="s">
        <v>42</v>
      </c>
      <c r="B141" s="68"/>
      <c r="C141" s="68"/>
      <c r="D141" s="68"/>
      <c r="E141" s="68"/>
      <c r="F141" s="9"/>
      <c r="G141" s="9"/>
      <c r="H141" s="68" t="s">
        <v>84</v>
      </c>
      <c r="I141" s="68"/>
      <c r="J141" s="68"/>
      <c r="K141" s="68"/>
      <c r="L141" s="68"/>
    </row>
    <row r="142" customFormat="false" ht="7.5" hidden="false" customHeight="true" outlineLevel="0" collapsed="false">
      <c r="A142" s="67"/>
      <c r="B142" s="67"/>
      <c r="C142" s="67"/>
      <c r="D142" s="67"/>
      <c r="E142" s="67"/>
      <c r="F142" s="10"/>
      <c r="G142" s="10"/>
      <c r="H142" s="67"/>
      <c r="I142" s="67"/>
      <c r="J142" s="67"/>
      <c r="K142" s="67"/>
      <c r="L142" s="67"/>
    </row>
    <row r="143" customFormat="false" ht="13.5" hidden="false" customHeight="false" outlineLevel="0" collapsed="false">
      <c r="A143" s="69"/>
      <c r="B143" s="70"/>
      <c r="C143" s="70"/>
      <c r="D143" s="70"/>
      <c r="E143" s="70" t="s">
        <v>85</v>
      </c>
      <c r="F143" s="28"/>
      <c r="G143" s="28"/>
      <c r="H143" s="71" t="s">
        <v>86</v>
      </c>
      <c r="I143" s="44"/>
      <c r="J143" s="44"/>
      <c r="K143" s="44"/>
      <c r="L143" s="44"/>
    </row>
    <row r="144" customFormat="false" ht="45" hidden="false" customHeight="true" outlineLevel="0" collapsed="false">
      <c r="A144" s="72" t="s">
        <v>87</v>
      </c>
      <c r="B144" s="72"/>
      <c r="C144" s="73" t="s">
        <v>88</v>
      </c>
      <c r="D144" s="73"/>
      <c r="E144" s="74" t="s">
        <v>89</v>
      </c>
      <c r="F144" s="74"/>
      <c r="G144" s="33"/>
      <c r="H144" s="75" t="s">
        <v>90</v>
      </c>
      <c r="I144" s="44"/>
      <c r="J144" s="44"/>
      <c r="K144" s="44"/>
      <c r="L144" s="44"/>
    </row>
    <row r="145" customFormat="false" ht="39" hidden="false" customHeight="true" outlineLevel="0" collapsed="false">
      <c r="A145" s="35" t="n">
        <f aca="false">A129+1</f>
        <v>85</v>
      </c>
      <c r="B145" s="36" t="str">
        <f aca="false">IF(WEEKDAY(C145,2)=1,"Mo",IF(WEEKDAY(C145,2)=2,"Di",IF(WEEKDAY(C145,2)=3,"Mi",IF(WEEKDAY(C145,2)=4,"Do.",IF(WEEKDAY(C145,2)=5,"Fr.",IF(WEEKDAY(C145,2)=6,"Sa.","So"))))))</f>
        <v>Mo</v>
      </c>
      <c r="C145" s="37" t="n">
        <f aca="false">C129+1</f>
        <v>46167</v>
      </c>
      <c r="D145" s="38" t="s">
        <v>122</v>
      </c>
      <c r="E145" s="39"/>
      <c r="F145" s="78" t="s">
        <v>92</v>
      </c>
      <c r="G145" s="41" t="s">
        <v>93</v>
      </c>
      <c r="H145" s="53" t="s">
        <v>161</v>
      </c>
      <c r="I145" s="43"/>
      <c r="J145" s="43"/>
      <c r="K145" s="43"/>
      <c r="L145" s="43"/>
    </row>
    <row r="146" customFormat="false" ht="63.75" hidden="false" customHeight="true" outlineLevel="0" collapsed="false">
      <c r="A146" s="45" t="n">
        <f aca="false">A145+1</f>
        <v>86</v>
      </c>
      <c r="B146" s="46" t="str">
        <f aca="false">IF(WEEKDAY(C146,2)=1,"Mo",IF(WEEKDAY(C146,2)=2,"Di",IF(WEEKDAY(C146,2)=3,"Mi",IF(WEEKDAY(C146,2)=4,"Do.",IF(WEEKDAY(C146,2)=5,"Fr.",IF(WEEKDAY(C146,2)=6,"Sa.","So"))))))</f>
        <v>Di</v>
      </c>
      <c r="C146" s="47" t="n">
        <f aca="false">C145+1</f>
        <v>46168</v>
      </c>
      <c r="D146" s="48" t="s">
        <v>91</v>
      </c>
      <c r="E146" s="49" t="n">
        <v>8.95</v>
      </c>
      <c r="F146" s="76" t="s">
        <v>92</v>
      </c>
      <c r="G146" s="51" t="s">
        <v>93</v>
      </c>
      <c r="H146" s="53" t="s">
        <v>162</v>
      </c>
      <c r="I146" s="43"/>
      <c r="J146" s="43"/>
      <c r="K146" s="43"/>
      <c r="L146" s="43"/>
    </row>
    <row r="147" customFormat="false" ht="63.75" hidden="false" customHeight="true" outlineLevel="0" collapsed="false">
      <c r="A147" s="45" t="n">
        <f aca="false">A146+1</f>
        <v>87</v>
      </c>
      <c r="B147" s="46" t="str">
        <f aca="false">IF(WEEKDAY(C147,2)=1,"Mo",IF(WEEKDAY(C147,2)=2,"Di",IF(WEEKDAY(C147,2)=3,"Mi",IF(WEEKDAY(C147,2)=4,"Do.",IF(WEEKDAY(C147,2)=5,"Fr.",IF(WEEKDAY(C147,2)=6,"Sa.","So"))))))</f>
        <v>Mi</v>
      </c>
      <c r="C147" s="47" t="n">
        <f aca="false">C146+1</f>
        <v>46169</v>
      </c>
      <c r="D147" s="48" t="s">
        <v>106</v>
      </c>
      <c r="E147" s="49" t="n">
        <v>5.4</v>
      </c>
      <c r="F147" s="76" t="s">
        <v>92</v>
      </c>
      <c r="G147" s="51" t="s">
        <v>54</v>
      </c>
      <c r="H147" s="53" t="s">
        <v>163</v>
      </c>
      <c r="I147" s="43"/>
      <c r="J147" s="43"/>
      <c r="K147" s="43"/>
      <c r="L147" s="43"/>
    </row>
    <row r="148" customFormat="false" ht="39" hidden="false" customHeight="true" outlineLevel="0" collapsed="false">
      <c r="A148" s="45" t="n">
        <f aca="false">A147+1</f>
        <v>88</v>
      </c>
      <c r="B148" s="46" t="str">
        <f aca="false">IF(WEEKDAY(C148,2)=1,"Mo",IF(WEEKDAY(C148,2)=2,"Di",IF(WEEKDAY(C148,2)=3,"Mi",IF(WEEKDAY(C148,2)=4,"Do.",IF(WEEKDAY(C148,2)=5,"Fr.",IF(WEEKDAY(C148,2)=6,"Sa.","So"))))))</f>
        <v>Do.</v>
      </c>
      <c r="C148" s="47" t="n">
        <f aca="false">C147+1</f>
        <v>46170</v>
      </c>
      <c r="D148" s="48" t="s">
        <v>91</v>
      </c>
      <c r="E148" s="49" t="n">
        <v>9</v>
      </c>
      <c r="F148" s="76" t="s">
        <v>92</v>
      </c>
      <c r="G148" s="51" t="s">
        <v>93</v>
      </c>
      <c r="H148" s="53" t="s">
        <v>164</v>
      </c>
      <c r="I148" s="43"/>
      <c r="J148" s="43"/>
      <c r="K148" s="43"/>
      <c r="L148" s="43"/>
    </row>
    <row r="149" customFormat="false" ht="26.25" hidden="false" customHeight="true" outlineLevel="0" collapsed="false">
      <c r="A149" s="45" t="n">
        <f aca="false">A148+1</f>
        <v>89</v>
      </c>
      <c r="B149" s="46" t="str">
        <f aca="false">IF(WEEKDAY(C149,2)=1,"Mo",IF(WEEKDAY(C149,2)=2,"Di",IF(WEEKDAY(C149,2)=3,"Mi",IF(WEEKDAY(C149,2)=4,"Do.",IF(WEEKDAY(C149,2)=5,"Fr.",IF(WEEKDAY(C149,2)=6,"Sa.","So"))))))</f>
        <v>Fr.</v>
      </c>
      <c r="C149" s="47" t="n">
        <f aca="false">C148+1</f>
        <v>46171</v>
      </c>
      <c r="D149" s="48" t="s">
        <v>91</v>
      </c>
      <c r="E149" s="49" t="n">
        <v>7.85</v>
      </c>
      <c r="F149" s="76" t="s">
        <v>92</v>
      </c>
      <c r="G149" s="51" t="s">
        <v>93</v>
      </c>
      <c r="H149" s="53" t="s">
        <v>165</v>
      </c>
      <c r="I149" s="43"/>
      <c r="J149" s="43"/>
      <c r="K149" s="43"/>
      <c r="L149" s="43"/>
    </row>
    <row r="150" customFormat="false" ht="13.5" hidden="false" customHeight="false" outlineLevel="0" collapsed="false">
      <c r="A150" s="45" t="n">
        <f aca="false">A149+1</f>
        <v>90</v>
      </c>
      <c r="B150" s="46" t="str">
        <f aca="false">IF(WEEKDAY(C150,2)=1,"Mo",IF(WEEKDAY(C150,2)=2,"Di",IF(WEEKDAY(C150,2)=3,"Mi",IF(WEEKDAY(C150,2)=4,"Do.",IF(WEEKDAY(C150,2)=5,"Fr.",IF(WEEKDAY(C150,2)=6,"Sa.","So"))))))</f>
        <v>Sa.</v>
      </c>
      <c r="C150" s="47" t="n">
        <f aca="false">C149+1</f>
        <v>46172</v>
      </c>
      <c r="D150" s="48"/>
      <c r="E150" s="49"/>
      <c r="F150" s="76" t="s">
        <v>92</v>
      </c>
      <c r="G150" s="51" t="s">
        <v>93</v>
      </c>
      <c r="H150" s="52"/>
      <c r="I150" s="43"/>
      <c r="J150" s="43"/>
      <c r="K150" s="43"/>
      <c r="L150" s="43"/>
    </row>
    <row r="151" customFormat="false" ht="13.5" hidden="false" customHeight="false" outlineLevel="0" collapsed="false">
      <c r="A151" s="45" t="n">
        <f aca="false">A150+1</f>
        <v>91</v>
      </c>
      <c r="B151" s="46" t="str">
        <f aca="false">IF(WEEKDAY(C151,2)=1,"Mo",IF(WEEKDAY(C151,2)=2,"Di",IF(WEEKDAY(C151,2)=3,"Mi",IF(WEEKDAY(C151,2)=4,"Do.",IF(WEEKDAY(C151,2)=5,"Fr.",IF(WEEKDAY(C151,2)=6,"Sa.","So"))))))</f>
        <v>So</v>
      </c>
      <c r="C151" s="47" t="n">
        <f aca="false">C150+1</f>
        <v>46173</v>
      </c>
      <c r="D151" s="48"/>
      <c r="E151" s="49"/>
      <c r="F151" s="76" t="s">
        <v>92</v>
      </c>
      <c r="G151" s="51" t="s">
        <v>93</v>
      </c>
      <c r="H151" s="52"/>
      <c r="I151" s="43"/>
      <c r="J151" s="43"/>
      <c r="K151" s="43"/>
      <c r="L151" s="43"/>
    </row>
    <row r="152" customFormat="false" ht="39" hidden="false" customHeight="true" outlineLevel="0" collapsed="false">
      <c r="A152" s="45" t="n">
        <f aca="false">A151+1</f>
        <v>92</v>
      </c>
      <c r="B152" s="46" t="str">
        <f aca="false">IF(WEEKDAY(C152,2)=1,"Mo",IF(WEEKDAY(C152,2)=2,"Di",IF(WEEKDAY(C152,2)=3,"Mi",IF(WEEKDAY(C152,2)=4,"Do.",IF(WEEKDAY(C152,2)=5,"Fr.",IF(WEEKDAY(C152,2)=6,"Sa.","So"))))))</f>
        <v>Mo</v>
      </c>
      <c r="C152" s="47" t="n">
        <f aca="false">C151+1</f>
        <v>46174</v>
      </c>
      <c r="D152" s="48" t="s">
        <v>91</v>
      </c>
      <c r="E152" s="49" t="n">
        <v>8.2</v>
      </c>
      <c r="F152" s="76" t="s">
        <v>92</v>
      </c>
      <c r="G152" s="51" t="s">
        <v>93</v>
      </c>
      <c r="H152" s="53" t="s">
        <v>166</v>
      </c>
      <c r="I152" s="43"/>
      <c r="J152" s="43"/>
      <c r="K152" s="43"/>
      <c r="L152" s="43"/>
    </row>
    <row r="153" customFormat="false" ht="13.5" hidden="false" customHeight="false" outlineLevel="0" collapsed="false">
      <c r="A153" s="45" t="n">
        <f aca="false">A152+1</f>
        <v>93</v>
      </c>
      <c r="B153" s="46" t="str">
        <f aca="false">IF(WEEKDAY(C153,2)=1,"Mo",IF(WEEKDAY(C153,2)=2,"Di",IF(WEEKDAY(C153,2)=3,"Mi",IF(WEEKDAY(C153,2)=4,"Do.",IF(WEEKDAY(C153,2)=5,"Fr.",IF(WEEKDAY(C153,2)=6,"Sa.","So"))))))</f>
        <v>Di</v>
      </c>
      <c r="C153" s="47" t="n">
        <f aca="false">C152+1</f>
        <v>46175</v>
      </c>
      <c r="D153" s="48" t="s">
        <v>91</v>
      </c>
      <c r="E153" s="49" t="n">
        <v>9.45</v>
      </c>
      <c r="F153" s="76" t="s">
        <v>92</v>
      </c>
      <c r="G153" s="51" t="s">
        <v>93</v>
      </c>
      <c r="H153" s="52" t="s">
        <v>167</v>
      </c>
      <c r="I153" s="43"/>
      <c r="J153" s="43"/>
      <c r="K153" s="43"/>
      <c r="L153" s="43"/>
    </row>
    <row r="154" customFormat="false" ht="26.25" hidden="false" customHeight="true" outlineLevel="0" collapsed="false">
      <c r="A154" s="45" t="n">
        <f aca="false">A153+1</f>
        <v>94</v>
      </c>
      <c r="B154" s="46" t="str">
        <f aca="false">IF(WEEKDAY(C154,2)=1,"Mo",IF(WEEKDAY(C154,2)=2,"Di",IF(WEEKDAY(C154,2)=3,"Mi",IF(WEEKDAY(C154,2)=4,"Do.",IF(WEEKDAY(C154,2)=5,"Fr.",IF(WEEKDAY(C154,2)=6,"Sa.","So"))))))</f>
        <v>Mi</v>
      </c>
      <c r="C154" s="47" t="n">
        <f aca="false">C153+1</f>
        <v>46176</v>
      </c>
      <c r="D154" s="48" t="s">
        <v>106</v>
      </c>
      <c r="E154" s="49" t="n">
        <v>5.15</v>
      </c>
      <c r="F154" s="76" t="s">
        <v>92</v>
      </c>
      <c r="G154" s="51" t="s">
        <v>54</v>
      </c>
      <c r="H154" s="53" t="s">
        <v>168</v>
      </c>
      <c r="I154" s="43"/>
      <c r="J154" s="43"/>
      <c r="K154" s="43"/>
      <c r="L154" s="43"/>
    </row>
    <row r="155" customFormat="false" ht="26.25" hidden="false" customHeight="true" outlineLevel="0" collapsed="false">
      <c r="A155" s="45" t="n">
        <f aca="false">A154+1</f>
        <v>95</v>
      </c>
      <c r="B155" s="46" t="str">
        <f aca="false">IF(WEEKDAY(C155,2)=1,"Mo",IF(WEEKDAY(C155,2)=2,"Di",IF(WEEKDAY(C155,2)=3,"Mi",IF(WEEKDAY(C155,2)=4,"Do.",IF(WEEKDAY(C155,2)=5,"Fr.",IF(WEEKDAY(C155,2)=6,"Sa.","So"))))))</f>
        <v>Do.</v>
      </c>
      <c r="C155" s="47" t="n">
        <f aca="false">C154+1</f>
        <v>46177</v>
      </c>
      <c r="D155" s="48" t="s">
        <v>122</v>
      </c>
      <c r="E155" s="49"/>
      <c r="F155" s="76" t="s">
        <v>92</v>
      </c>
      <c r="G155" s="51" t="s">
        <v>93</v>
      </c>
      <c r="H155" s="53" t="s">
        <v>169</v>
      </c>
      <c r="I155" s="43"/>
      <c r="J155" s="43"/>
      <c r="K155" s="43"/>
      <c r="L155" s="43"/>
    </row>
    <row r="156" customFormat="false" ht="13.5" hidden="false" customHeight="false" outlineLevel="0" collapsed="false">
      <c r="A156" s="45" t="n">
        <f aca="false">A155+1</f>
        <v>96</v>
      </c>
      <c r="B156" s="46" t="str">
        <f aca="false">IF(WEEKDAY(C156,2)=1,"Mo",IF(WEEKDAY(C156,2)=2,"Di",IF(WEEKDAY(C156,2)=3,"Mi",IF(WEEKDAY(C156,2)=4,"Do.",IF(WEEKDAY(C156,2)=5,"Fr.",IF(WEEKDAY(C156,2)=6,"Sa.","So"))))))</f>
        <v>Fr.</v>
      </c>
      <c r="C156" s="47" t="n">
        <f aca="false">C155+1</f>
        <v>46178</v>
      </c>
      <c r="D156" s="48" t="s">
        <v>91</v>
      </c>
      <c r="E156" s="49" t="n">
        <v>8.1</v>
      </c>
      <c r="F156" s="76" t="s">
        <v>92</v>
      </c>
      <c r="G156" s="51" t="s">
        <v>93</v>
      </c>
      <c r="H156" s="52" t="s">
        <v>170</v>
      </c>
      <c r="I156" s="43"/>
      <c r="J156" s="43"/>
      <c r="K156" s="43"/>
      <c r="L156" s="43"/>
    </row>
    <row r="157" customFormat="false" ht="13.5" hidden="false" customHeight="false" outlineLevel="0" collapsed="false">
      <c r="A157" s="45" t="n">
        <f aca="false">A156+1</f>
        <v>97</v>
      </c>
      <c r="B157" s="46" t="str">
        <f aca="false">IF(WEEKDAY(C157,2)=1,"Mo",IF(WEEKDAY(C157,2)=2,"Di",IF(WEEKDAY(C157,2)=3,"Mi",IF(WEEKDAY(C157,2)=4,"Do.",IF(WEEKDAY(C157,2)=5,"Fr.",IF(WEEKDAY(C157,2)=6,"Sa.","So"))))))</f>
        <v>Sa.</v>
      </c>
      <c r="C157" s="47" t="n">
        <f aca="false">C156+1</f>
        <v>46179</v>
      </c>
      <c r="D157" s="48"/>
      <c r="E157" s="49"/>
      <c r="F157" s="76" t="s">
        <v>92</v>
      </c>
      <c r="G157" s="51" t="s">
        <v>93</v>
      </c>
      <c r="H157" s="52"/>
      <c r="I157" s="43"/>
      <c r="J157" s="43"/>
      <c r="K157" s="43"/>
      <c r="L157" s="43"/>
    </row>
    <row r="158" customFormat="false" ht="13.5" hidden="false" customHeight="false" outlineLevel="0" collapsed="false">
      <c r="A158" s="45" t="n">
        <f aca="false">A157+1</f>
        <v>98</v>
      </c>
      <c r="B158" s="46" t="str">
        <f aca="false">IF(WEEKDAY(C158,2)=1,"Mo",IF(WEEKDAY(C158,2)=2,"Di",IF(WEEKDAY(C158,2)=3,"Mi",IF(WEEKDAY(C158,2)=4,"Do.",IF(WEEKDAY(C158,2)=5,"Fr.",IF(WEEKDAY(C158,2)=6,"Sa.","So"))))))</f>
        <v>So</v>
      </c>
      <c r="C158" s="47" t="n">
        <f aca="false">C157+1</f>
        <v>46180</v>
      </c>
      <c r="D158" s="48"/>
      <c r="E158" s="49"/>
      <c r="F158" s="76" t="s">
        <v>92</v>
      </c>
      <c r="G158" s="51" t="s">
        <v>93</v>
      </c>
      <c r="H158" s="52"/>
      <c r="I158" s="43"/>
      <c r="J158" s="43"/>
      <c r="K158" s="43"/>
      <c r="L158" s="43"/>
    </row>
    <row r="159" customFormat="false" ht="51" hidden="false" customHeight="true" outlineLevel="0" collapsed="false">
      <c r="A159" s="45" t="n">
        <f aca="false">A158+1</f>
        <v>99</v>
      </c>
      <c r="B159" s="46" t="str">
        <f aca="false">IF(WEEKDAY(C159,2)=1,"Mo",IF(WEEKDAY(C159,2)=2,"Di",IF(WEEKDAY(C159,2)=3,"Mi",IF(WEEKDAY(C159,2)=4,"Do.",IF(WEEKDAY(C159,2)=5,"Fr.",IF(WEEKDAY(C159,2)=6,"Sa.","So"))))))</f>
        <v>Mo</v>
      </c>
      <c r="C159" s="47" t="n">
        <f aca="false">C158+1</f>
        <v>46181</v>
      </c>
      <c r="D159" s="48" t="s">
        <v>91</v>
      </c>
      <c r="E159" s="49" t="n">
        <v>8.7</v>
      </c>
      <c r="F159" s="76" t="s">
        <v>92</v>
      </c>
      <c r="G159" s="51" t="s">
        <v>93</v>
      </c>
      <c r="H159" s="53" t="s">
        <v>171</v>
      </c>
      <c r="I159" s="43"/>
      <c r="J159" s="43"/>
      <c r="K159" s="43"/>
      <c r="L159" s="43"/>
    </row>
    <row r="160" customFormat="false" ht="26.25" hidden="false" customHeight="true" outlineLevel="0" collapsed="false">
      <c r="A160" s="45" t="n">
        <f aca="false">A159+1</f>
        <v>100</v>
      </c>
      <c r="B160" s="46" t="str">
        <f aca="false">IF(WEEKDAY(C160,2)=1,"Mo",IF(WEEKDAY(C160,2)=2,"Di",IF(WEEKDAY(C160,2)=3,"Mi",IF(WEEKDAY(C160,2)=4,"Do.",IF(WEEKDAY(C160,2)=5,"Fr.",IF(WEEKDAY(C160,2)=6,"Sa.","So"))))))</f>
        <v>Di</v>
      </c>
      <c r="C160" s="47" t="n">
        <f aca="false">C159+1</f>
        <v>46182</v>
      </c>
      <c r="D160" s="48" t="s">
        <v>91</v>
      </c>
      <c r="E160" s="49" t="n">
        <v>9.3</v>
      </c>
      <c r="F160" s="76" t="s">
        <v>92</v>
      </c>
      <c r="G160" s="51" t="s">
        <v>93</v>
      </c>
      <c r="H160" s="53" t="s">
        <v>172</v>
      </c>
      <c r="I160" s="43"/>
      <c r="J160" s="43"/>
      <c r="K160" s="43"/>
      <c r="L160" s="43"/>
    </row>
    <row r="161" customFormat="false" ht="39" hidden="false" customHeight="true" outlineLevel="0" collapsed="false">
      <c r="A161" s="45" t="n">
        <f aca="false">A160+1</f>
        <v>101</v>
      </c>
      <c r="B161" s="46" t="str">
        <f aca="false">IF(WEEKDAY(C161,2)=1,"Mo",IF(WEEKDAY(C161,2)=2,"Di",IF(WEEKDAY(C161,2)=3,"Mi",IF(WEEKDAY(C161,2)=4,"Do.",IF(WEEKDAY(C161,2)=5,"Fr.",IF(WEEKDAY(C161,2)=6,"Sa.","So"))))))</f>
        <v>Mi</v>
      </c>
      <c r="C161" s="47" t="n">
        <f aca="false">C160+1</f>
        <v>46183</v>
      </c>
      <c r="D161" s="48" t="s">
        <v>106</v>
      </c>
      <c r="E161" s="49" t="n">
        <v>5.5</v>
      </c>
      <c r="F161" s="76" t="s">
        <v>92</v>
      </c>
      <c r="G161" s="51" t="s">
        <v>54</v>
      </c>
      <c r="H161" s="53" t="s">
        <v>173</v>
      </c>
      <c r="I161" s="43"/>
      <c r="J161" s="43"/>
      <c r="K161" s="43"/>
      <c r="L161" s="43"/>
    </row>
    <row r="162" customFormat="false" ht="51" hidden="false" customHeight="true" outlineLevel="0" collapsed="false">
      <c r="A162" s="45" t="n">
        <f aca="false">A161+1</f>
        <v>102</v>
      </c>
      <c r="B162" s="46" t="str">
        <f aca="false">IF(WEEKDAY(C162,2)=1,"Mo",IF(WEEKDAY(C162,2)=2,"Di",IF(WEEKDAY(C162,2)=3,"Mi",IF(WEEKDAY(C162,2)=4,"Do.",IF(WEEKDAY(C162,2)=5,"Fr.",IF(WEEKDAY(C162,2)=6,"Sa.","So"))))))</f>
        <v>Do.</v>
      </c>
      <c r="C162" s="47" t="n">
        <f aca="false">C161+1</f>
        <v>46184</v>
      </c>
      <c r="D162" s="48" t="s">
        <v>91</v>
      </c>
      <c r="E162" s="49" t="n">
        <v>8.05</v>
      </c>
      <c r="F162" s="76" t="s">
        <v>92</v>
      </c>
      <c r="G162" s="51" t="s">
        <v>93</v>
      </c>
      <c r="H162" s="53" t="s">
        <v>174</v>
      </c>
      <c r="I162" s="43"/>
      <c r="J162" s="43"/>
      <c r="K162" s="43"/>
      <c r="L162" s="43"/>
    </row>
    <row r="163" customFormat="false" ht="76.5" hidden="false" customHeight="true" outlineLevel="0" collapsed="false">
      <c r="A163" s="45" t="n">
        <f aca="false">A162+1</f>
        <v>103</v>
      </c>
      <c r="B163" s="46" t="str">
        <f aca="false">IF(WEEKDAY(C163,2)=1,"Mo",IF(WEEKDAY(C163,2)=2,"Di",IF(WEEKDAY(C163,2)=3,"Mi",IF(WEEKDAY(C163,2)=4,"Do.",IF(WEEKDAY(C163,2)=5,"Fr.",IF(WEEKDAY(C163,2)=6,"Sa.","So"))))))</f>
        <v>Fr.</v>
      </c>
      <c r="C163" s="47" t="n">
        <f aca="false">C162+1</f>
        <v>46185</v>
      </c>
      <c r="D163" s="48" t="s">
        <v>91</v>
      </c>
      <c r="E163" s="49" t="n">
        <v>8.55</v>
      </c>
      <c r="F163" s="76" t="s">
        <v>92</v>
      </c>
      <c r="G163" s="51" t="s">
        <v>93</v>
      </c>
      <c r="H163" s="53" t="s">
        <v>175</v>
      </c>
      <c r="I163" s="43"/>
      <c r="J163" s="43"/>
      <c r="K163" s="43"/>
      <c r="L163" s="43"/>
    </row>
    <row r="164" customFormat="false" ht="13.5" hidden="false" customHeight="false" outlineLevel="0" collapsed="false">
      <c r="A164" s="45" t="n">
        <f aca="false">A163+1</f>
        <v>104</v>
      </c>
      <c r="B164" s="46" t="str">
        <f aca="false">IF(WEEKDAY(C164,2)=1,"Mo",IF(WEEKDAY(C164,2)=2,"Di",IF(WEEKDAY(C164,2)=3,"Mi",IF(WEEKDAY(C164,2)=4,"Do.",IF(WEEKDAY(C164,2)=5,"Fr.",IF(WEEKDAY(C164,2)=6,"Sa.","So"))))))</f>
        <v>Sa.</v>
      </c>
      <c r="C164" s="47" t="n">
        <f aca="false">C163+1</f>
        <v>46186</v>
      </c>
      <c r="D164" s="48"/>
      <c r="E164" s="49"/>
      <c r="F164" s="76" t="s">
        <v>92</v>
      </c>
      <c r="G164" s="51" t="s">
        <v>93</v>
      </c>
      <c r="H164" s="52"/>
      <c r="I164" s="43"/>
      <c r="J164" s="43"/>
      <c r="K164" s="43"/>
      <c r="L164" s="43"/>
    </row>
    <row r="165" customFormat="false" ht="13.5" hidden="false" customHeight="false" outlineLevel="0" collapsed="false">
      <c r="A165" s="45" t="n">
        <f aca="false">A164+1</f>
        <v>105</v>
      </c>
      <c r="B165" s="46" t="str">
        <f aca="false">IF(WEEKDAY(C165,2)=1,"Mo",IF(WEEKDAY(C165,2)=2,"Di",IF(WEEKDAY(C165,2)=3,"Mi",IF(WEEKDAY(C165,2)=4,"Do.",IF(WEEKDAY(C165,2)=5,"Fr.",IF(WEEKDAY(C165,2)=6,"Sa.","So"))))))</f>
        <v>So</v>
      </c>
      <c r="C165" s="47" t="n">
        <f aca="false">C164+1</f>
        <v>46187</v>
      </c>
      <c r="D165" s="48"/>
      <c r="E165" s="49"/>
      <c r="F165" s="76" t="s">
        <v>92</v>
      </c>
      <c r="G165" s="51" t="s">
        <v>93</v>
      </c>
      <c r="H165" s="52"/>
      <c r="I165" s="43"/>
      <c r="J165" s="43"/>
      <c r="K165" s="43"/>
      <c r="L165" s="43"/>
    </row>
    <row r="166" customFormat="false" ht="51" hidden="false" customHeight="true" outlineLevel="0" collapsed="false">
      <c r="A166" s="45" t="n">
        <f aca="false">A165+1</f>
        <v>106</v>
      </c>
      <c r="B166" s="46" t="str">
        <f aca="false">IF(WEEKDAY(C166,2)=1,"Mo",IF(WEEKDAY(C166,2)=2,"Di",IF(WEEKDAY(C166,2)=3,"Mi",IF(WEEKDAY(C166,2)=4,"Do.",IF(WEEKDAY(C166,2)=5,"Fr.",IF(WEEKDAY(C166,2)=6,"Sa.","So"))))))</f>
        <v>Mo</v>
      </c>
      <c r="C166" s="47" t="n">
        <f aca="false">C165+1</f>
        <v>46188</v>
      </c>
      <c r="D166" s="48" t="s">
        <v>91</v>
      </c>
      <c r="E166" s="49" t="n">
        <v>9.15</v>
      </c>
      <c r="F166" s="76" t="s">
        <v>92</v>
      </c>
      <c r="G166" s="51" t="s">
        <v>93</v>
      </c>
      <c r="H166" s="53" t="s">
        <v>176</v>
      </c>
      <c r="I166" s="43"/>
      <c r="J166" s="43"/>
      <c r="K166" s="43"/>
      <c r="L166" s="43"/>
    </row>
    <row r="167" customFormat="false" ht="26.25" hidden="false" customHeight="true" outlineLevel="0" collapsed="false">
      <c r="A167" s="45" t="n">
        <f aca="false">A166+1</f>
        <v>107</v>
      </c>
      <c r="B167" s="46" t="str">
        <f aca="false">IF(WEEKDAY(C167,2)=1,"Mo",IF(WEEKDAY(C167,2)=2,"Di",IF(WEEKDAY(C167,2)=3,"Mi",IF(WEEKDAY(C167,2)=4,"Do.",IF(WEEKDAY(C167,2)=5,"Fr.",IF(WEEKDAY(C167,2)=6,"Sa.","So"))))))</f>
        <v>Di</v>
      </c>
      <c r="C167" s="47" t="n">
        <f aca="false">C166+1</f>
        <v>46189</v>
      </c>
      <c r="D167" s="48" t="s">
        <v>91</v>
      </c>
      <c r="E167" s="49" t="n">
        <v>7.95</v>
      </c>
      <c r="F167" s="76" t="s">
        <v>92</v>
      </c>
      <c r="G167" s="51" t="s">
        <v>93</v>
      </c>
      <c r="H167" s="53" t="s">
        <v>177</v>
      </c>
      <c r="I167" s="43"/>
      <c r="J167" s="43"/>
      <c r="K167" s="43"/>
      <c r="L167" s="43"/>
    </row>
    <row r="168" customFormat="false" ht="51" hidden="false" customHeight="true" outlineLevel="0" collapsed="false">
      <c r="A168" s="45" t="n">
        <f aca="false">A167+1</f>
        <v>108</v>
      </c>
      <c r="B168" s="46" t="str">
        <f aca="false">IF(WEEKDAY(C168,2)=1,"Mo",IF(WEEKDAY(C168,2)=2,"Di",IF(WEEKDAY(C168,2)=3,"Mi",IF(WEEKDAY(C168,2)=4,"Do.",IF(WEEKDAY(C168,2)=5,"Fr.",IF(WEEKDAY(C168,2)=6,"Sa.","So"))))))</f>
        <v>Mi</v>
      </c>
      <c r="C168" s="47" t="n">
        <f aca="false">C167+1</f>
        <v>46190</v>
      </c>
      <c r="D168" s="48" t="s">
        <v>106</v>
      </c>
      <c r="E168" s="49" t="n">
        <v>5</v>
      </c>
      <c r="F168" s="76" t="s">
        <v>92</v>
      </c>
      <c r="G168" s="51" t="s">
        <v>54</v>
      </c>
      <c r="H168" s="53" t="s">
        <v>178</v>
      </c>
      <c r="I168" s="43"/>
      <c r="J168" s="43"/>
      <c r="K168" s="43"/>
      <c r="L168" s="43"/>
    </row>
    <row r="169" customFormat="false" ht="13.5" hidden="false" customHeight="false" outlineLevel="0" collapsed="false">
      <c r="A169" s="45" t="n">
        <f aca="false">A168+1</f>
        <v>109</v>
      </c>
      <c r="B169" s="46" t="str">
        <f aca="false">IF(WEEKDAY(C169,2)=1,"Mo",IF(WEEKDAY(C169,2)=2,"Di",IF(WEEKDAY(C169,2)=3,"Mi",IF(WEEKDAY(C169,2)=4,"Do.",IF(WEEKDAY(C169,2)=5,"Fr.",IF(WEEKDAY(C169,2)=6,"Sa.","So"))))))</f>
        <v>Do.</v>
      </c>
      <c r="C169" s="47" t="n">
        <f aca="false">C168+1</f>
        <v>46191</v>
      </c>
      <c r="D169" s="48" t="s">
        <v>91</v>
      </c>
      <c r="E169" s="49" t="n">
        <v>8.35</v>
      </c>
      <c r="F169" s="76" t="s">
        <v>92</v>
      </c>
      <c r="G169" s="51" t="s">
        <v>93</v>
      </c>
      <c r="H169" s="52" t="s">
        <v>179</v>
      </c>
      <c r="I169" s="43"/>
      <c r="J169" s="43"/>
      <c r="K169" s="43"/>
      <c r="L169" s="43"/>
    </row>
    <row r="170" customFormat="false" ht="26.25" hidden="false" customHeight="true" outlineLevel="0" collapsed="false">
      <c r="A170" s="45" t="n">
        <f aca="false">A169+1</f>
        <v>110</v>
      </c>
      <c r="B170" s="46" t="str">
        <f aca="false">IF(WEEKDAY(C170,2)=1,"Mo",IF(WEEKDAY(C170,2)=2,"Di",IF(WEEKDAY(C170,2)=3,"Mi",IF(WEEKDAY(C170,2)=4,"Do.",IF(WEEKDAY(C170,2)=5,"Fr.",IF(WEEKDAY(C170,2)=6,"Sa.","So"))))))</f>
        <v>Fr.</v>
      </c>
      <c r="C170" s="47" t="n">
        <f aca="false">C169+1</f>
        <v>46192</v>
      </c>
      <c r="D170" s="48" t="s">
        <v>91</v>
      </c>
      <c r="E170" s="49" t="n">
        <v>9.35</v>
      </c>
      <c r="F170" s="76" t="s">
        <v>92</v>
      </c>
      <c r="G170" s="51" t="s">
        <v>93</v>
      </c>
      <c r="H170" s="53" t="s">
        <v>180</v>
      </c>
      <c r="I170" s="43"/>
      <c r="J170" s="43"/>
      <c r="K170" s="43"/>
      <c r="L170" s="43"/>
    </row>
    <row r="171" customFormat="false" ht="13.5" hidden="false" customHeight="false" outlineLevel="0" collapsed="false">
      <c r="A171" s="45" t="n">
        <f aca="false">A170+1</f>
        <v>111</v>
      </c>
      <c r="B171" s="46" t="str">
        <f aca="false">IF(WEEKDAY(C171,2)=1,"Mo",IF(WEEKDAY(C171,2)=2,"Di",IF(WEEKDAY(C171,2)=3,"Mi",IF(WEEKDAY(C171,2)=4,"Do.",IF(WEEKDAY(C171,2)=5,"Fr.",IF(WEEKDAY(C171,2)=6,"Sa.","So"))))))</f>
        <v>Sa.</v>
      </c>
      <c r="C171" s="47" t="n">
        <f aca="false">C170+1</f>
        <v>46193</v>
      </c>
      <c r="D171" s="48"/>
      <c r="E171" s="49"/>
      <c r="F171" s="76" t="s">
        <v>92</v>
      </c>
      <c r="G171" s="51" t="s">
        <v>93</v>
      </c>
      <c r="H171" s="52"/>
      <c r="I171" s="43"/>
      <c r="J171" s="43"/>
      <c r="K171" s="43"/>
      <c r="L171" s="43"/>
    </row>
    <row r="172" customFormat="false" ht="14.25" hidden="false" customHeight="true" outlineLevel="0" collapsed="false">
      <c r="A172" s="55" t="n">
        <f aca="false">A171+1</f>
        <v>112</v>
      </c>
      <c r="B172" s="56" t="str">
        <f aca="false">IF(WEEKDAY(C172,2)=1,"Mo",IF(WEEKDAY(C172,2)=2,"Di",IF(WEEKDAY(C172,2)=3,"Mi",IF(WEEKDAY(C172,2)=4,"Do.",IF(WEEKDAY(C172,2)=5,"Fr.",IF(WEEKDAY(C172,2)=6,"Sa.","So"))))))</f>
        <v>So</v>
      </c>
      <c r="C172" s="57" t="n">
        <f aca="false">C171+1</f>
        <v>46194</v>
      </c>
      <c r="D172" s="58"/>
      <c r="E172" s="59"/>
      <c r="F172" s="77" t="s">
        <v>92</v>
      </c>
      <c r="G172" s="61" t="s">
        <v>93</v>
      </c>
      <c r="H172" s="62"/>
      <c r="I172" s="43"/>
      <c r="J172" s="43"/>
      <c r="K172" s="43"/>
      <c r="L172" s="43"/>
      <c r="N172" s="63"/>
      <c r="O172" s="64" t="s">
        <v>181</v>
      </c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</row>
    <row r="173" customFormat="false" ht="13.5" hidden="false" customHeight="false" outlineLevel="0" collapsed="false">
      <c r="A173" s="44"/>
      <c r="B173" s="44"/>
      <c r="C173" s="44"/>
      <c r="D173" s="44"/>
      <c r="E173" s="44"/>
      <c r="F173" s="2"/>
      <c r="G173" s="2"/>
      <c r="H173" s="44"/>
      <c r="I173" s="44"/>
      <c r="J173" s="44"/>
      <c r="K173" s="44"/>
      <c r="L173" s="44"/>
      <c r="N173" s="65"/>
      <c r="O173" s="1" t="s">
        <v>117</v>
      </c>
    </row>
    <row r="174" customFormat="false" ht="13.5" hidden="false" customHeight="false" outlineLevel="0" collapsed="false">
      <c r="A174" s="66" t="str">
        <f aca="false">Student_Name</f>
        <v>Hassine</v>
      </c>
      <c r="B174" s="66"/>
      <c r="C174" s="66"/>
      <c r="D174" s="66"/>
      <c r="E174" s="66"/>
      <c r="F174" s="66"/>
      <c r="G174" s="10"/>
      <c r="H174" s="66" t="str">
        <f aca="false">Ausbildungsbetrieb_Unternehmen</f>
        <v>Mechanische Werkstätte Schmidt e.K.</v>
      </c>
      <c r="I174" s="67"/>
      <c r="J174" s="67"/>
      <c r="K174" s="67"/>
      <c r="L174" s="67"/>
    </row>
    <row r="175" customFormat="false" ht="7.5" hidden="false" customHeight="true" outlineLevel="0" collapsed="false">
      <c r="A175" s="68" t="s">
        <v>31</v>
      </c>
      <c r="B175" s="68"/>
      <c r="C175" s="68"/>
      <c r="D175" s="68"/>
      <c r="E175" s="68"/>
      <c r="F175" s="9"/>
      <c r="G175" s="9"/>
      <c r="H175" s="68" t="s">
        <v>32</v>
      </c>
      <c r="I175" s="68"/>
      <c r="J175" s="68"/>
      <c r="K175" s="68"/>
      <c r="L175" s="68"/>
    </row>
    <row r="176" customFormat="false" ht="7.5" hidden="false" customHeight="true" outlineLevel="0" collapsed="false">
      <c r="A176" s="67"/>
      <c r="B176" s="67"/>
      <c r="C176" s="67"/>
      <c r="D176" s="67"/>
      <c r="E176" s="67"/>
      <c r="F176" s="10"/>
      <c r="G176" s="10"/>
      <c r="H176" s="67"/>
      <c r="I176" s="67"/>
      <c r="J176" s="67"/>
      <c r="K176" s="67"/>
      <c r="L176" s="67"/>
    </row>
    <row r="177" customFormat="false" ht="13.5" hidden="false" customHeight="false" outlineLevel="0" collapsed="false">
      <c r="A177" s="66" t="str">
        <f aca="false">Student_Vorname</f>
        <v>Houcine</v>
      </c>
      <c r="B177" s="66"/>
      <c r="C177" s="66"/>
      <c r="D177" s="66"/>
      <c r="E177" s="66"/>
      <c r="F177" s="66"/>
      <c r="G177" s="10"/>
      <c r="H177" s="66" t="str">
        <f aca="false">CONCATENATE(Ausbildungsbetrieb_Vorname, " ", Ausbildungsbetrieb_Name)</f>
        <v>Amine Halloul</v>
      </c>
      <c r="I177" s="67"/>
      <c r="J177" s="67"/>
      <c r="K177" s="67"/>
      <c r="L177" s="67"/>
    </row>
    <row r="178" customFormat="false" ht="7.5" hidden="false" customHeight="true" outlineLevel="0" collapsed="false">
      <c r="A178" s="68" t="s">
        <v>34</v>
      </c>
      <c r="B178" s="68"/>
      <c r="C178" s="68"/>
      <c r="D178" s="68"/>
      <c r="E178" s="68"/>
      <c r="F178" s="9"/>
      <c r="G178" s="9"/>
      <c r="H178" s="68" t="s">
        <v>82</v>
      </c>
      <c r="I178" s="68"/>
      <c r="J178" s="68"/>
      <c r="K178" s="68"/>
      <c r="L178" s="68"/>
    </row>
    <row r="179" customFormat="false" ht="7.5" hidden="false" customHeight="true" outlineLevel="0" collapsed="false">
      <c r="A179" s="67"/>
      <c r="B179" s="67"/>
      <c r="C179" s="67"/>
      <c r="D179" s="67"/>
      <c r="E179" s="67"/>
      <c r="F179" s="10"/>
      <c r="G179" s="10"/>
      <c r="H179" s="67"/>
      <c r="I179" s="67"/>
      <c r="J179" s="67"/>
      <c r="K179" s="67"/>
      <c r="L179" s="67"/>
    </row>
    <row r="180" customFormat="false" ht="13.5" hidden="false" customHeight="false" outlineLevel="0" collapsed="false">
      <c r="A180" s="66" t="str">
        <f aca="false">Student_Studiengruppe</f>
        <v>PA6</v>
      </c>
      <c r="B180" s="66"/>
      <c r="C180" s="66"/>
      <c r="D180" s="66"/>
      <c r="E180" s="66"/>
      <c r="F180" s="66"/>
      <c r="G180" s="10"/>
      <c r="H180" s="66" t="str">
        <f aca="false">Ausbildungsbetrieb_Email</f>
        <v>⟨E-Mail Betreuer⟩</v>
      </c>
      <c r="I180" s="67"/>
      <c r="J180" s="67"/>
      <c r="K180" s="67"/>
      <c r="L180" s="67"/>
    </row>
    <row r="181" customFormat="false" ht="7.5" hidden="false" customHeight="true" outlineLevel="0" collapsed="false">
      <c r="A181" s="68" t="s">
        <v>38</v>
      </c>
      <c r="B181" s="68"/>
      <c r="C181" s="68"/>
      <c r="D181" s="68"/>
      <c r="E181" s="68"/>
      <c r="F181" s="9"/>
      <c r="G181" s="9"/>
      <c r="H181" s="68" t="s">
        <v>83</v>
      </c>
      <c r="I181" s="68"/>
      <c r="J181" s="68"/>
      <c r="K181" s="68"/>
      <c r="L181" s="68"/>
    </row>
    <row r="182" customFormat="false" ht="7.5" hidden="false" customHeight="true" outlineLevel="0" collapsed="false">
      <c r="A182" s="67"/>
      <c r="B182" s="67"/>
      <c r="C182" s="67"/>
      <c r="D182" s="67"/>
      <c r="E182" s="67"/>
      <c r="F182" s="10"/>
      <c r="G182" s="10"/>
      <c r="H182" s="67"/>
      <c r="I182" s="67"/>
      <c r="J182" s="67"/>
      <c r="K182" s="67"/>
      <c r="L182" s="67"/>
    </row>
    <row r="183" customFormat="false" ht="13.5" hidden="false" customHeight="false" outlineLevel="0" collapsed="false">
      <c r="A183" s="66" t="str">
        <f aca="false">Student_Matrikelnummer</f>
        <v>3399727</v>
      </c>
      <c r="B183" s="66"/>
      <c r="C183" s="66"/>
      <c r="D183" s="66"/>
      <c r="E183" s="66"/>
      <c r="F183" s="66"/>
      <c r="G183" s="10"/>
      <c r="H183" s="66" t="str">
        <f aca="false">Ausbildungsbetrieb_Telefon</f>
        <v>⟨Telefon Betreuer⟩</v>
      </c>
      <c r="I183" s="67"/>
      <c r="J183" s="67"/>
      <c r="K183" s="67"/>
      <c r="L183" s="67"/>
    </row>
    <row r="184" customFormat="false" ht="7.5" hidden="false" customHeight="true" outlineLevel="0" collapsed="false">
      <c r="A184" s="68" t="s">
        <v>42</v>
      </c>
      <c r="B184" s="68"/>
      <c r="C184" s="68"/>
      <c r="D184" s="68"/>
      <c r="E184" s="68"/>
      <c r="F184" s="9"/>
      <c r="G184" s="9"/>
      <c r="H184" s="68" t="s">
        <v>84</v>
      </c>
      <c r="I184" s="68"/>
      <c r="J184" s="68"/>
      <c r="K184" s="68"/>
      <c r="L184" s="68"/>
    </row>
    <row r="185" customFormat="false" ht="7.5" hidden="false" customHeight="true" outlineLevel="0" collapsed="false">
      <c r="A185" s="67"/>
      <c r="B185" s="67"/>
      <c r="C185" s="67"/>
      <c r="D185" s="67"/>
      <c r="E185" s="67"/>
      <c r="F185" s="10"/>
      <c r="G185" s="10"/>
      <c r="H185" s="67"/>
      <c r="I185" s="67"/>
      <c r="J185" s="67"/>
      <c r="K185" s="67"/>
      <c r="L185" s="67"/>
    </row>
    <row r="186" customFormat="false" ht="13.5" hidden="false" customHeight="false" outlineLevel="0" collapsed="false">
      <c r="A186" s="69"/>
      <c r="B186" s="70"/>
      <c r="C186" s="70"/>
      <c r="D186" s="70"/>
      <c r="E186" s="70" t="s">
        <v>85</v>
      </c>
      <c r="F186" s="28"/>
      <c r="G186" s="28"/>
      <c r="H186" s="71" t="s">
        <v>86</v>
      </c>
      <c r="I186" s="44"/>
      <c r="J186" s="44"/>
      <c r="K186" s="44"/>
      <c r="L186" s="44"/>
    </row>
    <row r="187" customFormat="false" ht="45" hidden="false" customHeight="true" outlineLevel="0" collapsed="false">
      <c r="A187" s="72" t="s">
        <v>87</v>
      </c>
      <c r="B187" s="72"/>
      <c r="C187" s="73" t="s">
        <v>88</v>
      </c>
      <c r="D187" s="73"/>
      <c r="E187" s="74" t="s">
        <v>89</v>
      </c>
      <c r="F187" s="74"/>
      <c r="G187" s="33"/>
      <c r="H187" s="75" t="s">
        <v>90</v>
      </c>
      <c r="I187" s="44"/>
      <c r="J187" s="44"/>
      <c r="K187" s="44"/>
      <c r="L187" s="44"/>
    </row>
    <row r="188" customFormat="false" ht="26.25" hidden="false" customHeight="true" outlineLevel="0" collapsed="false">
      <c r="A188" s="35" t="n">
        <f aca="false">A172+1</f>
        <v>113</v>
      </c>
      <c r="B188" s="36" t="str">
        <f aca="false">IF(WEEKDAY(C188,2)=1,"Mo",IF(WEEKDAY(C188,2)=2,"Di",IF(WEEKDAY(C188,2)=3,"Mi",IF(WEEKDAY(C188,2)=4,"Do.",IF(WEEKDAY(C188,2)=5,"Fr.",IF(WEEKDAY(C188,2)=6,"Sa.","So"))))))</f>
        <v>Mo</v>
      </c>
      <c r="C188" s="37" t="n">
        <f aca="false">C172+1</f>
        <v>46195</v>
      </c>
      <c r="D188" s="38" t="s">
        <v>91</v>
      </c>
      <c r="E188" s="39" t="n">
        <v>8.65</v>
      </c>
      <c r="F188" s="78" t="s">
        <v>92</v>
      </c>
      <c r="G188" s="41" t="s">
        <v>93</v>
      </c>
      <c r="H188" s="53" t="s">
        <v>182</v>
      </c>
      <c r="I188" s="43"/>
      <c r="J188" s="43"/>
      <c r="K188" s="43"/>
      <c r="L188" s="43"/>
    </row>
    <row r="189" customFormat="false" ht="51" hidden="false" customHeight="true" outlineLevel="0" collapsed="false">
      <c r="A189" s="45" t="n">
        <f aca="false">A188+1</f>
        <v>114</v>
      </c>
      <c r="B189" s="46" t="str">
        <f aca="false">IF(WEEKDAY(C189,2)=1,"Mo",IF(WEEKDAY(C189,2)=2,"Di",IF(WEEKDAY(C189,2)=3,"Mi",IF(WEEKDAY(C189,2)=4,"Do.",IF(WEEKDAY(C189,2)=5,"Fr.",IF(WEEKDAY(C189,2)=6,"Sa.","So"))))))</f>
        <v>Di</v>
      </c>
      <c r="C189" s="47" t="n">
        <f aca="false">C188+1</f>
        <v>46196</v>
      </c>
      <c r="D189" s="48" t="s">
        <v>91</v>
      </c>
      <c r="E189" s="49" t="n">
        <v>8.5</v>
      </c>
      <c r="F189" s="76" t="s">
        <v>92</v>
      </c>
      <c r="G189" s="51" t="s">
        <v>93</v>
      </c>
      <c r="H189" s="53" t="s">
        <v>183</v>
      </c>
      <c r="I189" s="43"/>
      <c r="J189" s="43"/>
      <c r="K189" s="43"/>
      <c r="L189" s="43"/>
    </row>
    <row r="190" customFormat="false" ht="51" hidden="false" customHeight="true" outlineLevel="0" collapsed="false">
      <c r="A190" s="45" t="n">
        <f aca="false">A189+1</f>
        <v>115</v>
      </c>
      <c r="B190" s="46" t="str">
        <f aca="false">IF(WEEKDAY(C190,2)=1,"Mo",IF(WEEKDAY(C190,2)=2,"Di",IF(WEEKDAY(C190,2)=3,"Mi",IF(WEEKDAY(C190,2)=4,"Do.",IF(WEEKDAY(C190,2)=5,"Fr.",IF(WEEKDAY(C190,2)=6,"Sa.","So"))))))</f>
        <v>Mi</v>
      </c>
      <c r="C190" s="47" t="n">
        <f aca="false">C189+1</f>
        <v>46197</v>
      </c>
      <c r="D190" s="48" t="s">
        <v>106</v>
      </c>
      <c r="E190" s="49" t="n">
        <v>5.25</v>
      </c>
      <c r="F190" s="76" t="s">
        <v>92</v>
      </c>
      <c r="G190" s="51" t="s">
        <v>54</v>
      </c>
      <c r="H190" s="53" t="s">
        <v>184</v>
      </c>
      <c r="I190" s="43"/>
      <c r="J190" s="43"/>
      <c r="K190" s="43"/>
      <c r="L190" s="43"/>
    </row>
    <row r="191" customFormat="false" ht="51" hidden="false" customHeight="true" outlineLevel="0" collapsed="false">
      <c r="A191" s="45" t="n">
        <f aca="false">A190+1</f>
        <v>116</v>
      </c>
      <c r="B191" s="46" t="str">
        <f aca="false">IF(WEEKDAY(C191,2)=1,"Mo",IF(WEEKDAY(C191,2)=2,"Di",IF(WEEKDAY(C191,2)=3,"Mi",IF(WEEKDAY(C191,2)=4,"Do.",IF(WEEKDAY(C191,2)=5,"Fr.",IF(WEEKDAY(C191,2)=6,"Sa.","So"))))))</f>
        <v>Do.</v>
      </c>
      <c r="C191" s="47" t="n">
        <f aca="false">C190+1</f>
        <v>46198</v>
      </c>
      <c r="D191" s="48" t="s">
        <v>91</v>
      </c>
      <c r="E191" s="49" t="n">
        <v>9</v>
      </c>
      <c r="F191" s="76" t="s">
        <v>92</v>
      </c>
      <c r="G191" s="51" t="s">
        <v>93</v>
      </c>
      <c r="H191" s="53" t="s">
        <v>185</v>
      </c>
      <c r="I191" s="43"/>
      <c r="J191" s="43"/>
      <c r="K191" s="43"/>
      <c r="L191" s="43"/>
    </row>
    <row r="192" customFormat="false" ht="39" hidden="false" customHeight="true" outlineLevel="0" collapsed="false">
      <c r="A192" s="45" t="n">
        <f aca="false">A191+1</f>
        <v>117</v>
      </c>
      <c r="B192" s="46" t="str">
        <f aca="false">IF(WEEKDAY(C192,2)=1,"Mo",IF(WEEKDAY(C192,2)=2,"Di",IF(WEEKDAY(C192,2)=3,"Mi",IF(WEEKDAY(C192,2)=4,"Do.",IF(WEEKDAY(C192,2)=5,"Fr.",IF(WEEKDAY(C192,2)=6,"Sa.","So"))))))</f>
        <v>Fr.</v>
      </c>
      <c r="C192" s="47" t="n">
        <f aca="false">C191+1</f>
        <v>46199</v>
      </c>
      <c r="D192" s="48" t="s">
        <v>91</v>
      </c>
      <c r="E192" s="49" t="n">
        <v>8.25</v>
      </c>
      <c r="F192" s="76" t="s">
        <v>92</v>
      </c>
      <c r="G192" s="51" t="s">
        <v>93</v>
      </c>
      <c r="H192" s="53" t="s">
        <v>186</v>
      </c>
      <c r="I192" s="43"/>
      <c r="J192" s="43"/>
      <c r="K192" s="43"/>
      <c r="L192" s="43"/>
    </row>
    <row r="193" customFormat="false" ht="13.5" hidden="false" customHeight="false" outlineLevel="0" collapsed="false">
      <c r="A193" s="45" t="n">
        <f aca="false">A192+1</f>
        <v>118</v>
      </c>
      <c r="B193" s="46" t="str">
        <f aca="false">IF(WEEKDAY(C193,2)=1,"Mo",IF(WEEKDAY(C193,2)=2,"Di",IF(WEEKDAY(C193,2)=3,"Mi",IF(WEEKDAY(C193,2)=4,"Do.",IF(WEEKDAY(C193,2)=5,"Fr.",IF(WEEKDAY(C193,2)=6,"Sa.","So"))))))</f>
        <v>Sa.</v>
      </c>
      <c r="C193" s="47" t="n">
        <f aca="false">C192+1</f>
        <v>46200</v>
      </c>
      <c r="D193" s="48"/>
      <c r="E193" s="49"/>
      <c r="F193" s="76" t="s">
        <v>92</v>
      </c>
      <c r="G193" s="51" t="s">
        <v>93</v>
      </c>
      <c r="H193" s="52"/>
      <c r="I193" s="43"/>
      <c r="J193" s="43"/>
      <c r="K193" s="43"/>
      <c r="L193" s="43"/>
    </row>
    <row r="194" customFormat="false" ht="13.5" hidden="false" customHeight="false" outlineLevel="0" collapsed="false">
      <c r="A194" s="45" t="n">
        <f aca="false">A193+1</f>
        <v>119</v>
      </c>
      <c r="B194" s="46" t="str">
        <f aca="false">IF(WEEKDAY(C194,2)=1,"Mo",IF(WEEKDAY(C194,2)=2,"Di",IF(WEEKDAY(C194,2)=3,"Mi",IF(WEEKDAY(C194,2)=4,"Do.",IF(WEEKDAY(C194,2)=5,"Fr.",IF(WEEKDAY(C194,2)=6,"Sa.","So"))))))</f>
        <v>So</v>
      </c>
      <c r="C194" s="47" t="n">
        <f aca="false">C193+1</f>
        <v>46201</v>
      </c>
      <c r="D194" s="48"/>
      <c r="E194" s="49"/>
      <c r="F194" s="76" t="s">
        <v>92</v>
      </c>
      <c r="G194" s="51" t="s">
        <v>93</v>
      </c>
      <c r="H194" s="52"/>
      <c r="I194" s="43"/>
      <c r="J194" s="43"/>
      <c r="K194" s="43"/>
      <c r="L194" s="43"/>
    </row>
    <row r="195" customFormat="false" ht="39" hidden="false" customHeight="true" outlineLevel="0" collapsed="false">
      <c r="A195" s="45" t="n">
        <f aca="false">A194+1</f>
        <v>120</v>
      </c>
      <c r="B195" s="46" t="str">
        <f aca="false">IF(WEEKDAY(C195,2)=1,"Mo",IF(WEEKDAY(C195,2)=2,"Di",IF(WEEKDAY(C195,2)=3,"Mi",IF(WEEKDAY(C195,2)=4,"Do.",IF(WEEKDAY(C195,2)=5,"Fr.",IF(WEEKDAY(C195,2)=6,"Sa.","So"))))))</f>
        <v>Mo</v>
      </c>
      <c r="C195" s="47" t="n">
        <f aca="false">C194+1</f>
        <v>46202</v>
      </c>
      <c r="D195" s="48" t="s">
        <v>91</v>
      </c>
      <c r="E195" s="49" t="n">
        <v>9.25</v>
      </c>
      <c r="F195" s="76" t="s">
        <v>92</v>
      </c>
      <c r="G195" s="51" t="s">
        <v>93</v>
      </c>
      <c r="H195" s="53" t="s">
        <v>187</v>
      </c>
      <c r="I195" s="43"/>
      <c r="J195" s="43"/>
      <c r="K195" s="43"/>
      <c r="L195" s="43"/>
    </row>
    <row r="196" customFormat="false" ht="39" hidden="false" customHeight="true" outlineLevel="0" collapsed="false">
      <c r="A196" s="45" t="n">
        <f aca="false">A195+1</f>
        <v>121</v>
      </c>
      <c r="B196" s="46" t="str">
        <f aca="false">IF(WEEKDAY(C196,2)=1,"Mo",IF(WEEKDAY(C196,2)=2,"Di",IF(WEEKDAY(C196,2)=3,"Mi",IF(WEEKDAY(C196,2)=4,"Do.",IF(WEEKDAY(C196,2)=5,"Fr.",IF(WEEKDAY(C196,2)=6,"Sa.","So"))))))</f>
        <v>Di</v>
      </c>
      <c r="C196" s="47" t="n">
        <f aca="false">C195+1</f>
        <v>46203</v>
      </c>
      <c r="D196" s="48" t="s">
        <v>91</v>
      </c>
      <c r="E196" s="49" t="n">
        <v>7.75</v>
      </c>
      <c r="F196" s="76" t="s">
        <v>92</v>
      </c>
      <c r="G196" s="51" t="s">
        <v>93</v>
      </c>
      <c r="H196" s="53" t="s">
        <v>188</v>
      </c>
      <c r="I196" s="43"/>
      <c r="J196" s="43"/>
      <c r="K196" s="43"/>
      <c r="L196" s="43"/>
    </row>
    <row r="197" customFormat="false" ht="39" hidden="false" customHeight="true" outlineLevel="0" collapsed="false">
      <c r="A197" s="45" t="n">
        <f aca="false">A196+1</f>
        <v>122</v>
      </c>
      <c r="B197" s="46" t="str">
        <f aca="false">IF(WEEKDAY(C197,2)=1,"Mo",IF(WEEKDAY(C197,2)=2,"Di",IF(WEEKDAY(C197,2)=3,"Mi",IF(WEEKDAY(C197,2)=4,"Do.",IF(WEEKDAY(C197,2)=5,"Fr.",IF(WEEKDAY(C197,2)=6,"Sa.","So"))))))</f>
        <v>Mi</v>
      </c>
      <c r="C197" s="47" t="n">
        <f aca="false">C196+1</f>
        <v>46204</v>
      </c>
      <c r="D197" s="48" t="s">
        <v>106</v>
      </c>
      <c r="E197" s="49" t="n">
        <v>5.75</v>
      </c>
      <c r="F197" s="76" t="s">
        <v>92</v>
      </c>
      <c r="G197" s="51" t="s">
        <v>54</v>
      </c>
      <c r="H197" s="53" t="s">
        <v>189</v>
      </c>
      <c r="I197" s="43"/>
      <c r="J197" s="43"/>
      <c r="K197" s="43"/>
      <c r="L197" s="43"/>
    </row>
    <row r="198" customFormat="false" ht="26.25" hidden="false" customHeight="true" outlineLevel="0" collapsed="false">
      <c r="A198" s="45" t="n">
        <f aca="false">A197+1</f>
        <v>123</v>
      </c>
      <c r="B198" s="46" t="str">
        <f aca="false">IF(WEEKDAY(C198,2)=1,"Mo",IF(WEEKDAY(C198,2)=2,"Di",IF(WEEKDAY(C198,2)=3,"Mi",IF(WEEKDAY(C198,2)=4,"Do.",IF(WEEKDAY(C198,2)=5,"Fr.",IF(WEEKDAY(C198,2)=6,"Sa.","So"))))))</f>
        <v>Do.</v>
      </c>
      <c r="C198" s="47" t="n">
        <f aca="false">C197+1</f>
        <v>46205</v>
      </c>
      <c r="D198" s="48" t="s">
        <v>91</v>
      </c>
      <c r="E198" s="49" t="n">
        <v>8.75</v>
      </c>
      <c r="F198" s="76" t="s">
        <v>92</v>
      </c>
      <c r="G198" s="51" t="s">
        <v>93</v>
      </c>
      <c r="H198" s="53" t="s">
        <v>190</v>
      </c>
      <c r="I198" s="43"/>
      <c r="J198" s="43"/>
      <c r="K198" s="43"/>
      <c r="L198" s="43"/>
    </row>
    <row r="199" customFormat="false" ht="13.5" hidden="false" customHeight="false" outlineLevel="0" collapsed="false">
      <c r="A199" s="45" t="n">
        <f aca="false">A198+1</f>
        <v>124</v>
      </c>
      <c r="B199" s="46" t="str">
        <f aca="false">IF(WEEKDAY(C199,2)=1,"Mo",IF(WEEKDAY(C199,2)=2,"Di",IF(WEEKDAY(C199,2)=3,"Mi",IF(WEEKDAY(C199,2)=4,"Do.",IF(WEEKDAY(C199,2)=5,"Fr.",IF(WEEKDAY(C199,2)=6,"Sa.","So"))))))</f>
        <v>Fr.</v>
      </c>
      <c r="C199" s="47" t="n">
        <f aca="false">C198+1</f>
        <v>46206</v>
      </c>
      <c r="D199" s="48" t="s">
        <v>109</v>
      </c>
      <c r="E199" s="49"/>
      <c r="F199" s="76" t="s">
        <v>92</v>
      </c>
      <c r="G199" s="51" t="s">
        <v>93</v>
      </c>
      <c r="H199" s="79" t="s">
        <v>110</v>
      </c>
      <c r="I199" s="43"/>
      <c r="J199" s="43"/>
      <c r="K199" s="43"/>
      <c r="L199" s="43"/>
    </row>
    <row r="200" customFormat="false" ht="13.5" hidden="false" customHeight="false" outlineLevel="0" collapsed="false">
      <c r="A200" s="45" t="n">
        <f aca="false">A199+1</f>
        <v>125</v>
      </c>
      <c r="B200" s="46" t="str">
        <f aca="false">IF(WEEKDAY(C200,2)=1,"Mo",IF(WEEKDAY(C200,2)=2,"Di",IF(WEEKDAY(C200,2)=3,"Mi",IF(WEEKDAY(C200,2)=4,"Do.",IF(WEEKDAY(C200,2)=5,"Fr.",IF(WEEKDAY(C200,2)=6,"Sa.","So"))))))</f>
        <v>Sa.</v>
      </c>
      <c r="C200" s="47" t="n">
        <f aca="false">C199+1</f>
        <v>46207</v>
      </c>
      <c r="D200" s="48"/>
      <c r="E200" s="49"/>
      <c r="F200" s="76" t="s">
        <v>92</v>
      </c>
      <c r="G200" s="51" t="s">
        <v>93</v>
      </c>
      <c r="H200" s="52"/>
      <c r="I200" s="43"/>
      <c r="J200" s="43"/>
      <c r="K200" s="43"/>
      <c r="L200" s="43"/>
    </row>
    <row r="201" customFormat="false" ht="13.5" hidden="false" customHeight="false" outlineLevel="0" collapsed="false">
      <c r="A201" s="45" t="n">
        <f aca="false">A200+1</f>
        <v>126</v>
      </c>
      <c r="B201" s="46" t="str">
        <f aca="false">IF(WEEKDAY(C201,2)=1,"Mo",IF(WEEKDAY(C201,2)=2,"Di",IF(WEEKDAY(C201,2)=3,"Mi",IF(WEEKDAY(C201,2)=4,"Do.",IF(WEEKDAY(C201,2)=5,"Fr.",IF(WEEKDAY(C201,2)=6,"Sa.","So"))))))</f>
        <v>So</v>
      </c>
      <c r="C201" s="47" t="n">
        <f aca="false">C200+1</f>
        <v>46208</v>
      </c>
      <c r="D201" s="48"/>
      <c r="E201" s="49"/>
      <c r="F201" s="76" t="s">
        <v>92</v>
      </c>
      <c r="G201" s="51" t="s">
        <v>93</v>
      </c>
      <c r="H201" s="52"/>
      <c r="I201" s="43"/>
      <c r="J201" s="43"/>
      <c r="K201" s="43"/>
      <c r="L201" s="43"/>
    </row>
    <row r="202" customFormat="false" ht="39" hidden="false" customHeight="true" outlineLevel="0" collapsed="false">
      <c r="A202" s="45" t="n">
        <f aca="false">A201+1</f>
        <v>127</v>
      </c>
      <c r="B202" s="46" t="str">
        <f aca="false">IF(WEEKDAY(C202,2)=1,"Mo",IF(WEEKDAY(C202,2)=2,"Di",IF(WEEKDAY(C202,2)=3,"Mi",IF(WEEKDAY(C202,2)=4,"Do.",IF(WEEKDAY(C202,2)=5,"Fr.",IF(WEEKDAY(C202,2)=6,"Sa.","So"))))))</f>
        <v>Mo</v>
      </c>
      <c r="C202" s="47" t="n">
        <f aca="false">C201+1</f>
        <v>46209</v>
      </c>
      <c r="D202" s="48" t="s">
        <v>91</v>
      </c>
      <c r="E202" s="49" t="n">
        <v>9.5</v>
      </c>
      <c r="F202" s="76" t="s">
        <v>92</v>
      </c>
      <c r="G202" s="51" t="s">
        <v>93</v>
      </c>
      <c r="H202" s="53" t="s">
        <v>191</v>
      </c>
      <c r="I202" s="43"/>
      <c r="J202" s="43"/>
      <c r="K202" s="43"/>
      <c r="L202" s="43"/>
    </row>
    <row r="203" customFormat="false" ht="39" hidden="false" customHeight="true" outlineLevel="0" collapsed="false">
      <c r="A203" s="45" t="n">
        <f aca="false">A202+1</f>
        <v>128</v>
      </c>
      <c r="B203" s="46" t="str">
        <f aca="false">IF(WEEKDAY(C203,2)=1,"Mo",IF(WEEKDAY(C203,2)=2,"Di",IF(WEEKDAY(C203,2)=3,"Mi",IF(WEEKDAY(C203,2)=4,"Do.",IF(WEEKDAY(C203,2)=5,"Fr.",IF(WEEKDAY(C203,2)=6,"Sa.","So"))))))</f>
        <v>Di</v>
      </c>
      <c r="C203" s="47" t="n">
        <f aca="false">C202+1</f>
        <v>46210</v>
      </c>
      <c r="D203" s="48" t="s">
        <v>91</v>
      </c>
      <c r="E203" s="49" t="n">
        <v>8</v>
      </c>
      <c r="F203" s="76" t="s">
        <v>92</v>
      </c>
      <c r="G203" s="51" t="s">
        <v>93</v>
      </c>
      <c r="H203" s="53" t="s">
        <v>192</v>
      </c>
      <c r="I203" s="43"/>
      <c r="J203" s="43"/>
      <c r="K203" s="43"/>
      <c r="L203" s="43"/>
    </row>
    <row r="204" customFormat="false" ht="26.25" hidden="false" customHeight="true" outlineLevel="0" collapsed="false">
      <c r="A204" s="45" t="n">
        <f aca="false">A203+1</f>
        <v>129</v>
      </c>
      <c r="B204" s="46" t="str">
        <f aca="false">IF(WEEKDAY(C204,2)=1,"Mo",IF(WEEKDAY(C204,2)=2,"Di",IF(WEEKDAY(C204,2)=3,"Mi",IF(WEEKDAY(C204,2)=4,"Do.",IF(WEEKDAY(C204,2)=5,"Fr.",IF(WEEKDAY(C204,2)=6,"Sa.","So"))))))</f>
        <v>Mi</v>
      </c>
      <c r="C204" s="47" t="n">
        <f aca="false">C203+1</f>
        <v>46211</v>
      </c>
      <c r="D204" s="48" t="s">
        <v>91</v>
      </c>
      <c r="E204" s="49" t="n">
        <v>8.6</v>
      </c>
      <c r="F204" s="76" t="s">
        <v>92</v>
      </c>
      <c r="G204" s="51" t="s">
        <v>93</v>
      </c>
      <c r="H204" s="52" t="s">
        <v>193</v>
      </c>
      <c r="I204" s="43"/>
      <c r="J204" s="43"/>
      <c r="K204" s="43"/>
      <c r="L204" s="43"/>
    </row>
    <row r="205" customFormat="false" ht="26.25" hidden="false" customHeight="true" outlineLevel="0" collapsed="false">
      <c r="A205" s="45" t="n">
        <f aca="false">A204+1</f>
        <v>130</v>
      </c>
      <c r="B205" s="46" t="str">
        <f aca="false">IF(WEEKDAY(C205,2)=1,"Mo",IF(WEEKDAY(C205,2)=2,"Di",IF(WEEKDAY(C205,2)=3,"Mi",IF(WEEKDAY(C205,2)=4,"Do.",IF(WEEKDAY(C205,2)=5,"Fr.",IF(WEEKDAY(C205,2)=6,"Sa.","So"))))))</f>
        <v>Do.</v>
      </c>
      <c r="C205" s="47" t="n">
        <f aca="false">C204+1</f>
        <v>46212</v>
      </c>
      <c r="D205" s="48" t="s">
        <v>91</v>
      </c>
      <c r="E205" s="49" t="n">
        <v>9.05</v>
      </c>
      <c r="F205" s="76" t="s">
        <v>92</v>
      </c>
      <c r="G205" s="51" t="s">
        <v>93</v>
      </c>
      <c r="H205" s="80" t="s">
        <v>194</v>
      </c>
      <c r="I205" s="43"/>
      <c r="J205" s="43"/>
      <c r="K205" s="43"/>
      <c r="L205" s="43"/>
    </row>
    <row r="206" customFormat="false" ht="26.25" hidden="false" customHeight="true" outlineLevel="0" collapsed="false">
      <c r="A206" s="45" t="n">
        <f aca="false">A205+1</f>
        <v>131</v>
      </c>
      <c r="B206" s="46" t="str">
        <f aca="false">IF(WEEKDAY(C206,2)=1,"Mo",IF(WEEKDAY(C206,2)=2,"Di",IF(WEEKDAY(C206,2)=3,"Mi",IF(WEEKDAY(C206,2)=4,"Do.",IF(WEEKDAY(C206,2)=5,"Fr.",IF(WEEKDAY(C206,2)=6,"Sa.","So"))))))</f>
        <v>Fr.</v>
      </c>
      <c r="C206" s="47" t="n">
        <f aca="false">C205+1</f>
        <v>46213</v>
      </c>
      <c r="D206" s="48" t="s">
        <v>91</v>
      </c>
      <c r="E206" s="49" t="n">
        <v>8.3</v>
      </c>
      <c r="F206" s="76" t="s">
        <v>92</v>
      </c>
      <c r="G206" s="51" t="s">
        <v>93</v>
      </c>
      <c r="H206" s="52" t="s">
        <v>195</v>
      </c>
      <c r="I206" s="43"/>
      <c r="J206" s="43"/>
      <c r="K206" s="43"/>
      <c r="L206" s="43"/>
    </row>
    <row r="207" customFormat="false" ht="13.5" hidden="false" customHeight="false" outlineLevel="0" collapsed="false">
      <c r="A207" s="45" t="n">
        <f aca="false">A206+1</f>
        <v>132</v>
      </c>
      <c r="B207" s="46" t="str">
        <f aca="false">IF(WEEKDAY(C207,2)=1,"Mo",IF(WEEKDAY(C207,2)=2,"Di",IF(WEEKDAY(C207,2)=3,"Mi",IF(WEEKDAY(C207,2)=4,"Do.",IF(WEEKDAY(C207,2)=5,"Fr.",IF(WEEKDAY(C207,2)=6,"Sa.","So"))))))</f>
        <v>Sa.</v>
      </c>
      <c r="C207" s="47" t="n">
        <f aca="false">C206+1</f>
        <v>46214</v>
      </c>
      <c r="D207" s="48"/>
      <c r="E207" s="49"/>
      <c r="F207" s="76" t="s">
        <v>92</v>
      </c>
      <c r="G207" s="51" t="s">
        <v>93</v>
      </c>
      <c r="H207" s="52"/>
      <c r="I207" s="43"/>
      <c r="J207" s="43"/>
      <c r="K207" s="43"/>
      <c r="L207" s="43"/>
    </row>
    <row r="208" customFormat="false" ht="13.5" hidden="false" customHeight="false" outlineLevel="0" collapsed="false">
      <c r="A208" s="45" t="n">
        <f aca="false">A207+1</f>
        <v>133</v>
      </c>
      <c r="B208" s="46" t="str">
        <f aca="false">IF(WEEKDAY(C208,2)=1,"Mo",IF(WEEKDAY(C208,2)=2,"Di",IF(WEEKDAY(C208,2)=3,"Mi",IF(WEEKDAY(C208,2)=4,"Do.",IF(WEEKDAY(C208,2)=5,"Fr.",IF(WEEKDAY(C208,2)=6,"Sa.","So"))))))</f>
        <v>So</v>
      </c>
      <c r="C208" s="47" t="n">
        <f aca="false">C207+1</f>
        <v>46215</v>
      </c>
      <c r="D208" s="48"/>
      <c r="E208" s="49"/>
      <c r="F208" s="76" t="s">
        <v>92</v>
      </c>
      <c r="G208" s="51" t="s">
        <v>93</v>
      </c>
      <c r="H208" s="52"/>
      <c r="I208" s="43"/>
      <c r="J208" s="43"/>
      <c r="K208" s="43"/>
      <c r="L208" s="43"/>
    </row>
    <row r="209" customFormat="false" ht="26.25" hidden="false" customHeight="true" outlineLevel="0" collapsed="false">
      <c r="A209" s="45" t="n">
        <f aca="false">A208+1</f>
        <v>134</v>
      </c>
      <c r="B209" s="46" t="str">
        <f aca="false">IF(WEEKDAY(C209,2)=1,"Mo",IF(WEEKDAY(C209,2)=2,"Di",IF(WEEKDAY(C209,2)=3,"Mi",IF(WEEKDAY(C209,2)=4,"Do.",IF(WEEKDAY(C209,2)=5,"Fr.",IF(WEEKDAY(C209,2)=6,"Sa.","So"))))))</f>
        <v>Mo</v>
      </c>
      <c r="C209" s="47" t="n">
        <f aca="false">C208+1</f>
        <v>46216</v>
      </c>
      <c r="D209" s="48" t="s">
        <v>91</v>
      </c>
      <c r="E209" s="49" t="n">
        <v>7.55</v>
      </c>
      <c r="F209" s="76" t="s">
        <v>92</v>
      </c>
      <c r="G209" s="51" t="s">
        <v>93</v>
      </c>
      <c r="H209" s="52" t="s">
        <v>196</v>
      </c>
      <c r="I209" s="43"/>
      <c r="J209" s="43"/>
      <c r="K209" s="43"/>
      <c r="L209" s="43"/>
    </row>
    <row r="210" customFormat="false" ht="39" hidden="false" customHeight="true" outlineLevel="0" collapsed="false">
      <c r="A210" s="45" t="n">
        <f aca="false">A209+1</f>
        <v>135</v>
      </c>
      <c r="B210" s="46" t="str">
        <f aca="false">IF(WEEKDAY(C210,2)=1,"Mo",IF(WEEKDAY(C210,2)=2,"Di",IF(WEEKDAY(C210,2)=3,"Mi",IF(WEEKDAY(C210,2)=4,"Do.",IF(WEEKDAY(C210,2)=5,"Fr.",IF(WEEKDAY(C210,2)=6,"Sa.","So"))))))</f>
        <v>Di</v>
      </c>
      <c r="C210" s="47" t="n">
        <f aca="false">C209+1</f>
        <v>46217</v>
      </c>
      <c r="D210" s="48" t="s">
        <v>91</v>
      </c>
      <c r="E210" s="49" t="n">
        <v>8.8</v>
      </c>
      <c r="F210" s="76" t="s">
        <v>92</v>
      </c>
      <c r="G210" s="51" t="s">
        <v>93</v>
      </c>
      <c r="H210" s="52" t="s">
        <v>197</v>
      </c>
      <c r="I210" s="43"/>
      <c r="J210" s="43"/>
      <c r="K210" s="43"/>
      <c r="L210" s="43"/>
    </row>
    <row r="211" customFormat="false" ht="13.5" hidden="false" customHeight="false" outlineLevel="0" collapsed="false">
      <c r="A211" s="45" t="n">
        <f aca="false">A210+1</f>
        <v>136</v>
      </c>
      <c r="B211" s="46" t="str">
        <f aca="false">IF(WEEKDAY(C211,2)=1,"Mo",IF(WEEKDAY(C211,2)=2,"Di",IF(WEEKDAY(C211,2)=3,"Mi",IF(WEEKDAY(C211,2)=4,"Do.",IF(WEEKDAY(C211,2)=5,"Fr.",IF(WEEKDAY(C211,2)=6,"Sa.","So"))))))</f>
        <v>Mi</v>
      </c>
      <c r="C211" s="47" t="n">
        <f aca="false">C210+1</f>
        <v>46218</v>
      </c>
      <c r="D211" s="48" t="s">
        <v>91</v>
      </c>
      <c r="E211" s="49" t="n">
        <v>9.2</v>
      </c>
      <c r="F211" s="76" t="s">
        <v>92</v>
      </c>
      <c r="G211" s="51" t="s">
        <v>93</v>
      </c>
      <c r="H211" s="52" t="s">
        <v>198</v>
      </c>
      <c r="I211" s="43"/>
      <c r="J211" s="43"/>
      <c r="K211" s="43"/>
      <c r="L211" s="43"/>
    </row>
    <row r="212" customFormat="false" ht="26.25" hidden="false" customHeight="true" outlineLevel="0" collapsed="false">
      <c r="A212" s="45" t="n">
        <f aca="false">A211+1</f>
        <v>137</v>
      </c>
      <c r="B212" s="46" t="str">
        <f aca="false">IF(WEEKDAY(C212,2)=1,"Mo",IF(WEEKDAY(C212,2)=2,"Di",IF(WEEKDAY(C212,2)=3,"Mi",IF(WEEKDAY(C212,2)=4,"Do.",IF(WEEKDAY(C212,2)=5,"Fr.",IF(WEEKDAY(C212,2)=6,"Sa.","So"))))))</f>
        <v>Do.</v>
      </c>
      <c r="C212" s="47" t="n">
        <f aca="false">C211+1</f>
        <v>46219</v>
      </c>
      <c r="D212" s="48" t="s">
        <v>91</v>
      </c>
      <c r="E212" s="49" t="n">
        <v>8.45</v>
      </c>
      <c r="F212" s="76" t="s">
        <v>92</v>
      </c>
      <c r="G212" s="51" t="s">
        <v>93</v>
      </c>
      <c r="H212" s="52" t="s">
        <v>199</v>
      </c>
      <c r="I212" s="43"/>
      <c r="J212" s="43"/>
      <c r="K212" s="43"/>
      <c r="L212" s="43"/>
    </row>
    <row r="213" customFormat="false" ht="13.5" hidden="false" customHeight="false" outlineLevel="0" collapsed="false">
      <c r="A213" s="45" t="n">
        <f aca="false">A212+1</f>
        <v>138</v>
      </c>
      <c r="B213" s="46" t="str">
        <f aca="false">IF(WEEKDAY(C213,2)=1,"Mo",IF(WEEKDAY(C213,2)=2,"Di",IF(WEEKDAY(C213,2)=3,"Mi",IF(WEEKDAY(C213,2)=4,"Do.",IF(WEEKDAY(C213,2)=5,"Fr.",IF(WEEKDAY(C213,2)=6,"Sa.","So"))))))</f>
        <v>Fr.</v>
      </c>
      <c r="C213" s="47" t="n">
        <f aca="false">C212+1</f>
        <v>46220</v>
      </c>
      <c r="D213" s="48" t="s">
        <v>91</v>
      </c>
      <c r="E213" s="49" t="n">
        <v>8.95</v>
      </c>
      <c r="F213" s="76" t="s">
        <v>92</v>
      </c>
      <c r="G213" s="51" t="s">
        <v>93</v>
      </c>
      <c r="H213" s="52" t="s">
        <v>200</v>
      </c>
      <c r="I213" s="43"/>
      <c r="J213" s="43"/>
      <c r="K213" s="43"/>
      <c r="L213" s="43"/>
    </row>
    <row r="214" customFormat="false" ht="13.5" hidden="false" customHeight="false" outlineLevel="0" collapsed="false">
      <c r="A214" s="45" t="n">
        <f aca="false">A213+1</f>
        <v>139</v>
      </c>
      <c r="B214" s="46" t="str">
        <f aca="false">IF(WEEKDAY(C214,2)=1,"Mo",IF(WEEKDAY(C214,2)=2,"Di",IF(WEEKDAY(C214,2)=3,"Mi",IF(WEEKDAY(C214,2)=4,"Do.",IF(WEEKDAY(C214,2)=5,"Fr.",IF(WEEKDAY(C214,2)=6,"Sa.","So"))))))</f>
        <v>Sa.</v>
      </c>
      <c r="C214" s="47" t="n">
        <f aca="false">C213+1</f>
        <v>46221</v>
      </c>
      <c r="D214" s="48"/>
      <c r="E214" s="49"/>
      <c r="F214" s="76" t="s">
        <v>92</v>
      </c>
      <c r="G214" s="51" t="s">
        <v>93</v>
      </c>
      <c r="H214" s="52"/>
      <c r="I214" s="43"/>
      <c r="J214" s="43"/>
      <c r="K214" s="43"/>
      <c r="L214" s="43"/>
    </row>
    <row r="215" customFormat="false" ht="14.25" hidden="false" customHeight="true" outlineLevel="0" collapsed="false">
      <c r="A215" s="55" t="n">
        <f aca="false">A214+1</f>
        <v>140</v>
      </c>
      <c r="B215" s="56" t="str">
        <f aca="false">IF(WEEKDAY(C215,2)=1,"Mo",IF(WEEKDAY(C215,2)=2,"Di",IF(WEEKDAY(C215,2)=3,"Mi",IF(WEEKDAY(C215,2)=4,"Do.",IF(WEEKDAY(C215,2)=5,"Fr.",IF(WEEKDAY(C215,2)=6,"Sa.","So"))))))</f>
        <v>So</v>
      </c>
      <c r="C215" s="57" t="n">
        <f aca="false">C214+1</f>
        <v>46222</v>
      </c>
      <c r="D215" s="58"/>
      <c r="E215" s="59"/>
      <c r="F215" s="77" t="s">
        <v>92</v>
      </c>
      <c r="G215" s="61" t="s">
        <v>93</v>
      </c>
      <c r="H215" s="62"/>
      <c r="I215" s="43"/>
      <c r="J215" s="43"/>
      <c r="K215" s="43"/>
      <c r="L215" s="43"/>
      <c r="N215" s="63"/>
      <c r="O215" s="64" t="s">
        <v>201</v>
      </c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</row>
    <row r="216" customFormat="false" ht="13.5" hidden="false" customHeight="false" outlineLevel="0" collapsed="false">
      <c r="A216" s="44"/>
      <c r="B216" s="44"/>
      <c r="C216" s="44"/>
      <c r="D216" s="44"/>
      <c r="E216" s="44"/>
      <c r="F216" s="2"/>
      <c r="G216" s="2"/>
      <c r="H216" s="44"/>
      <c r="I216" s="44"/>
      <c r="J216" s="44"/>
      <c r="K216" s="44"/>
      <c r="L216" s="44"/>
      <c r="N216" s="65"/>
      <c r="O216" s="1" t="s">
        <v>117</v>
      </c>
    </row>
    <row r="217" customFormat="false" ht="13.5" hidden="false" customHeight="false" outlineLevel="0" collapsed="false">
      <c r="A217" s="66" t="str">
        <f aca="false">Student_Name</f>
        <v>Hassine</v>
      </c>
      <c r="B217" s="66"/>
      <c r="C217" s="66"/>
      <c r="D217" s="66"/>
      <c r="E217" s="66"/>
      <c r="F217" s="66"/>
      <c r="G217" s="10"/>
      <c r="H217" s="66" t="str">
        <f aca="false">Ausbildungsbetrieb_Unternehmen</f>
        <v>Mechanische Werkstätte Schmidt e.K.</v>
      </c>
      <c r="I217" s="67"/>
      <c r="J217" s="67"/>
      <c r="K217" s="67"/>
      <c r="L217" s="67"/>
    </row>
    <row r="218" customFormat="false" ht="7.5" hidden="false" customHeight="true" outlineLevel="0" collapsed="false">
      <c r="A218" s="68" t="s">
        <v>31</v>
      </c>
      <c r="B218" s="68"/>
      <c r="C218" s="68"/>
      <c r="D218" s="68"/>
      <c r="E218" s="68"/>
      <c r="F218" s="9"/>
      <c r="G218" s="9"/>
      <c r="H218" s="68" t="s">
        <v>32</v>
      </c>
      <c r="I218" s="68"/>
      <c r="J218" s="68"/>
      <c r="K218" s="68"/>
      <c r="L218" s="68"/>
    </row>
    <row r="219" customFormat="false" ht="7.5" hidden="false" customHeight="true" outlineLevel="0" collapsed="false">
      <c r="A219" s="67"/>
      <c r="B219" s="67"/>
      <c r="C219" s="67"/>
      <c r="D219" s="67"/>
      <c r="E219" s="67"/>
      <c r="F219" s="10"/>
      <c r="G219" s="10"/>
      <c r="H219" s="67"/>
      <c r="I219" s="67"/>
      <c r="J219" s="67"/>
      <c r="K219" s="67"/>
      <c r="L219" s="67"/>
    </row>
    <row r="220" customFormat="false" ht="13.5" hidden="false" customHeight="false" outlineLevel="0" collapsed="false">
      <c r="A220" s="66" t="str">
        <f aca="false">Student_Vorname</f>
        <v>Houcine</v>
      </c>
      <c r="B220" s="66"/>
      <c r="C220" s="66"/>
      <c r="D220" s="66"/>
      <c r="E220" s="66"/>
      <c r="F220" s="66"/>
      <c r="G220" s="10"/>
      <c r="H220" s="66" t="str">
        <f aca="false">CONCATENATE(Ausbildungsbetrieb_Vorname, " ", Ausbildungsbetrieb_Name)</f>
        <v>Amine Halloul</v>
      </c>
      <c r="I220" s="67"/>
      <c r="J220" s="67"/>
      <c r="K220" s="67"/>
      <c r="L220" s="67"/>
    </row>
    <row r="221" customFormat="false" ht="7.5" hidden="false" customHeight="true" outlineLevel="0" collapsed="false">
      <c r="A221" s="68" t="s">
        <v>34</v>
      </c>
      <c r="B221" s="68"/>
      <c r="C221" s="68"/>
      <c r="D221" s="68"/>
      <c r="E221" s="68"/>
      <c r="F221" s="9"/>
      <c r="G221" s="9"/>
      <c r="H221" s="68" t="s">
        <v>82</v>
      </c>
      <c r="I221" s="68"/>
      <c r="J221" s="68"/>
      <c r="K221" s="68"/>
      <c r="L221" s="68"/>
    </row>
    <row r="222" customFormat="false" ht="7.5" hidden="false" customHeight="true" outlineLevel="0" collapsed="false">
      <c r="A222" s="67"/>
      <c r="B222" s="67"/>
      <c r="C222" s="67"/>
      <c r="D222" s="67"/>
      <c r="E222" s="67"/>
      <c r="F222" s="10"/>
      <c r="G222" s="10"/>
      <c r="H222" s="67"/>
      <c r="I222" s="67"/>
      <c r="J222" s="67"/>
      <c r="K222" s="67"/>
      <c r="L222" s="67"/>
    </row>
    <row r="223" customFormat="false" ht="13.5" hidden="false" customHeight="false" outlineLevel="0" collapsed="false">
      <c r="A223" s="66" t="str">
        <f aca="false">Student_Studiengruppe</f>
        <v>PA6</v>
      </c>
      <c r="B223" s="66"/>
      <c r="C223" s="66"/>
      <c r="D223" s="66"/>
      <c r="E223" s="66"/>
      <c r="F223" s="66"/>
      <c r="G223" s="10"/>
      <c r="H223" s="66" t="str">
        <f aca="false">Ausbildungsbetrieb_Email</f>
        <v>⟨E-Mail Betreuer⟩</v>
      </c>
      <c r="I223" s="67"/>
      <c r="J223" s="67"/>
      <c r="K223" s="67"/>
      <c r="L223" s="67"/>
    </row>
    <row r="224" customFormat="false" ht="7.5" hidden="false" customHeight="true" outlineLevel="0" collapsed="false">
      <c r="A224" s="68" t="s">
        <v>38</v>
      </c>
      <c r="B224" s="68"/>
      <c r="C224" s="68"/>
      <c r="D224" s="68"/>
      <c r="E224" s="68"/>
      <c r="F224" s="9"/>
      <c r="G224" s="9"/>
      <c r="H224" s="68" t="s">
        <v>83</v>
      </c>
      <c r="I224" s="68"/>
      <c r="J224" s="68"/>
      <c r="K224" s="68"/>
      <c r="L224" s="68"/>
    </row>
    <row r="225" customFormat="false" ht="7.5" hidden="false" customHeight="true" outlineLevel="0" collapsed="false">
      <c r="A225" s="67"/>
      <c r="B225" s="67"/>
      <c r="C225" s="67"/>
      <c r="D225" s="67"/>
      <c r="E225" s="67"/>
      <c r="F225" s="10"/>
      <c r="G225" s="10"/>
      <c r="H225" s="67"/>
      <c r="I225" s="67"/>
      <c r="J225" s="67"/>
      <c r="K225" s="67"/>
      <c r="L225" s="67"/>
    </row>
    <row r="226" customFormat="false" ht="13.5" hidden="false" customHeight="false" outlineLevel="0" collapsed="false">
      <c r="A226" s="66" t="str">
        <f aca="false">Student_Matrikelnummer</f>
        <v>3399727</v>
      </c>
      <c r="B226" s="66"/>
      <c r="C226" s="66"/>
      <c r="D226" s="66"/>
      <c r="E226" s="66"/>
      <c r="F226" s="66"/>
      <c r="G226" s="10"/>
      <c r="H226" s="66" t="str">
        <f aca="false">Ausbildungsbetrieb_Telefon</f>
        <v>⟨Telefon Betreuer⟩</v>
      </c>
      <c r="I226" s="67"/>
      <c r="J226" s="67"/>
      <c r="K226" s="67"/>
      <c r="L226" s="67"/>
    </row>
    <row r="227" customFormat="false" ht="7.5" hidden="false" customHeight="true" outlineLevel="0" collapsed="false">
      <c r="A227" s="68" t="s">
        <v>42</v>
      </c>
      <c r="B227" s="68"/>
      <c r="C227" s="68"/>
      <c r="D227" s="68"/>
      <c r="E227" s="68"/>
      <c r="F227" s="9"/>
      <c r="G227" s="9"/>
      <c r="H227" s="68" t="s">
        <v>84</v>
      </c>
      <c r="I227" s="68"/>
      <c r="J227" s="68"/>
      <c r="K227" s="68"/>
      <c r="L227" s="68"/>
    </row>
    <row r="228" customFormat="false" ht="7.5" hidden="false" customHeight="true" outlineLevel="0" collapsed="false">
      <c r="A228" s="67"/>
      <c r="B228" s="67"/>
      <c r="C228" s="67"/>
      <c r="D228" s="67"/>
      <c r="E228" s="67"/>
      <c r="F228" s="10"/>
      <c r="G228" s="10"/>
      <c r="H228" s="67"/>
      <c r="I228" s="67"/>
      <c r="J228" s="67"/>
      <c r="K228" s="67"/>
      <c r="L228" s="67"/>
    </row>
    <row r="229" customFormat="false" ht="13.5" hidden="false" customHeight="false" outlineLevel="0" collapsed="false">
      <c r="A229" s="69"/>
      <c r="B229" s="70"/>
      <c r="C229" s="70"/>
      <c r="D229" s="70"/>
      <c r="E229" s="70" t="s">
        <v>85</v>
      </c>
      <c r="F229" s="28"/>
      <c r="G229" s="28"/>
      <c r="H229" s="71" t="s">
        <v>86</v>
      </c>
      <c r="I229" s="44"/>
      <c r="J229" s="44"/>
      <c r="K229" s="44"/>
      <c r="L229" s="44"/>
    </row>
    <row r="230" customFormat="false" ht="45" hidden="false" customHeight="true" outlineLevel="0" collapsed="false">
      <c r="A230" s="72" t="s">
        <v>87</v>
      </c>
      <c r="B230" s="72"/>
      <c r="C230" s="73" t="s">
        <v>88</v>
      </c>
      <c r="D230" s="73"/>
      <c r="E230" s="74" t="s">
        <v>89</v>
      </c>
      <c r="F230" s="74"/>
      <c r="G230" s="33"/>
      <c r="H230" s="75" t="s">
        <v>90</v>
      </c>
      <c r="I230" s="44"/>
      <c r="J230" s="44"/>
      <c r="K230" s="44"/>
      <c r="L230" s="44"/>
    </row>
    <row r="231" customFormat="false" ht="13.5" hidden="false" customHeight="false" outlineLevel="0" collapsed="false">
      <c r="A231" s="35" t="n">
        <f aca="false">A215+1</f>
        <v>141</v>
      </c>
      <c r="B231" s="36" t="str">
        <f aca="false">IF(WEEKDAY(C231,2)=1,"Mo",IF(WEEKDAY(C231,2)=2,"Di",IF(WEEKDAY(C231,2)=3,"Mi",IF(WEEKDAY(C231,2)=4,"Do.",IF(WEEKDAY(C231,2)=5,"Fr.",IF(WEEKDAY(C231,2)=6,"Sa.","So"))))))</f>
        <v>Mo</v>
      </c>
      <c r="C231" s="37" t="n">
        <f aca="false">C215+1</f>
        <v>46223</v>
      </c>
      <c r="D231" s="38" t="s">
        <v>91</v>
      </c>
      <c r="E231" s="39" t="n">
        <v>9</v>
      </c>
      <c r="F231" s="78" t="s">
        <v>92</v>
      </c>
      <c r="G231" s="41" t="s">
        <v>93</v>
      </c>
      <c r="H231" s="42" t="s">
        <v>202</v>
      </c>
      <c r="I231" s="43"/>
      <c r="J231" s="43"/>
      <c r="K231" s="43"/>
      <c r="L231" s="43"/>
    </row>
    <row r="232" customFormat="false" ht="26.85" hidden="false" customHeight="false" outlineLevel="0" collapsed="false">
      <c r="A232" s="45" t="n">
        <f aca="false">A231+1</f>
        <v>142</v>
      </c>
      <c r="B232" s="46" t="str">
        <f aca="false">IF(WEEKDAY(C232,2)=1,"Mo",IF(WEEKDAY(C232,2)=2,"Di",IF(WEEKDAY(C232,2)=3,"Mi",IF(WEEKDAY(C232,2)=4,"Do.",IF(WEEKDAY(C232,2)=5,"Fr.",IF(WEEKDAY(C232,2)=6,"Sa.","So"))))))</f>
        <v>Di</v>
      </c>
      <c r="C232" s="47" t="n">
        <f aca="false">C231+1</f>
        <v>46224</v>
      </c>
      <c r="D232" s="48" t="s">
        <v>91</v>
      </c>
      <c r="E232" s="49" t="n">
        <v>7.85</v>
      </c>
      <c r="F232" s="76" t="s">
        <v>92</v>
      </c>
      <c r="G232" s="51" t="s">
        <v>93</v>
      </c>
      <c r="H232" s="52" t="s">
        <v>203</v>
      </c>
      <c r="I232" s="43"/>
      <c r="J232" s="43"/>
      <c r="K232" s="43"/>
      <c r="L232" s="43"/>
    </row>
    <row r="233" customFormat="false" ht="26.85" hidden="false" customHeight="false" outlineLevel="0" collapsed="false">
      <c r="A233" s="45" t="n">
        <f aca="false">A232+1</f>
        <v>143</v>
      </c>
      <c r="B233" s="46" t="str">
        <f aca="false">IF(WEEKDAY(C233,2)=1,"Mo",IF(WEEKDAY(C233,2)=2,"Di",IF(WEEKDAY(C233,2)=3,"Mi",IF(WEEKDAY(C233,2)=4,"Do.",IF(WEEKDAY(C233,2)=5,"Fr.",IF(WEEKDAY(C233,2)=6,"Sa.","So"))))))</f>
        <v>Mi</v>
      </c>
      <c r="C233" s="47" t="n">
        <f aca="false">C232+1</f>
        <v>46225</v>
      </c>
      <c r="D233" s="48" t="s">
        <v>91</v>
      </c>
      <c r="E233" s="49" t="n">
        <v>8.2</v>
      </c>
      <c r="F233" s="76" t="s">
        <v>92</v>
      </c>
      <c r="G233" s="51" t="s">
        <v>93</v>
      </c>
      <c r="H233" s="52" t="s">
        <v>204</v>
      </c>
      <c r="I233" s="43"/>
      <c r="J233" s="43"/>
      <c r="K233" s="43"/>
      <c r="L233" s="43"/>
    </row>
    <row r="234" customFormat="false" ht="26.85" hidden="false" customHeight="false" outlineLevel="0" collapsed="false">
      <c r="A234" s="45" t="n">
        <f aca="false">A233+1</f>
        <v>144</v>
      </c>
      <c r="B234" s="46" t="str">
        <f aca="false">IF(WEEKDAY(C234,2)=1,"Mo",IF(WEEKDAY(C234,2)=2,"Di",IF(WEEKDAY(C234,2)=3,"Mi",IF(WEEKDAY(C234,2)=4,"Do.",IF(WEEKDAY(C234,2)=5,"Fr.",IF(WEEKDAY(C234,2)=6,"Sa.","So"))))))</f>
        <v>Do.</v>
      </c>
      <c r="C234" s="47" t="n">
        <f aca="false">C233+1</f>
        <v>46226</v>
      </c>
      <c r="D234" s="48" t="s">
        <v>91</v>
      </c>
      <c r="E234" s="49" t="n">
        <v>9.45</v>
      </c>
      <c r="F234" s="76" t="s">
        <v>92</v>
      </c>
      <c r="G234" s="51" t="s">
        <v>93</v>
      </c>
      <c r="H234" s="52" t="s">
        <v>205</v>
      </c>
      <c r="I234" s="43"/>
      <c r="J234" s="43"/>
      <c r="K234" s="43"/>
      <c r="L234" s="43"/>
    </row>
    <row r="235" customFormat="false" ht="13.5" hidden="false" customHeight="false" outlineLevel="0" collapsed="false">
      <c r="A235" s="45" t="n">
        <f aca="false">A234+1</f>
        <v>145</v>
      </c>
      <c r="B235" s="46" t="str">
        <f aca="false">IF(WEEKDAY(C235,2)=1,"Mo",IF(WEEKDAY(C235,2)=2,"Di",IF(WEEKDAY(C235,2)=3,"Mi",IF(WEEKDAY(C235,2)=4,"Do.",IF(WEEKDAY(C235,2)=5,"Fr.",IF(WEEKDAY(C235,2)=6,"Sa.","So"))))))</f>
        <v>Fr.</v>
      </c>
      <c r="C235" s="47" t="n">
        <f aca="false">C234+1</f>
        <v>46227</v>
      </c>
      <c r="D235" s="48" t="s">
        <v>91</v>
      </c>
      <c r="E235" s="49" t="n">
        <v>8.1</v>
      </c>
      <c r="F235" s="76" t="s">
        <v>92</v>
      </c>
      <c r="G235" s="51" t="s">
        <v>93</v>
      </c>
      <c r="H235" s="52" t="s">
        <v>206</v>
      </c>
      <c r="I235" s="43"/>
      <c r="J235" s="43"/>
      <c r="K235" s="43"/>
      <c r="L235" s="43"/>
    </row>
    <row r="236" customFormat="false" ht="13.5" hidden="false" customHeight="false" outlineLevel="0" collapsed="false">
      <c r="A236" s="45" t="n">
        <f aca="false">A235+1</f>
        <v>146</v>
      </c>
      <c r="B236" s="46" t="str">
        <f aca="false">IF(WEEKDAY(C236,2)=1,"Mo",IF(WEEKDAY(C236,2)=2,"Di",IF(WEEKDAY(C236,2)=3,"Mi",IF(WEEKDAY(C236,2)=4,"Do.",IF(WEEKDAY(C236,2)=5,"Fr.",IF(WEEKDAY(C236,2)=6,"Sa.","So"))))))</f>
        <v>Sa.</v>
      </c>
      <c r="C236" s="47" t="n">
        <f aca="false">C235+1</f>
        <v>46228</v>
      </c>
      <c r="D236" s="48"/>
      <c r="E236" s="49"/>
      <c r="F236" s="76" t="s">
        <v>92</v>
      </c>
      <c r="G236" s="51" t="s">
        <v>93</v>
      </c>
      <c r="H236" s="52"/>
      <c r="I236" s="43"/>
      <c r="J236" s="43"/>
      <c r="K236" s="43"/>
      <c r="L236" s="43"/>
    </row>
    <row r="237" customFormat="false" ht="13.5" hidden="false" customHeight="false" outlineLevel="0" collapsed="false">
      <c r="A237" s="45" t="n">
        <f aca="false">A236+1</f>
        <v>147</v>
      </c>
      <c r="B237" s="46" t="str">
        <f aca="false">IF(WEEKDAY(C237,2)=1,"Mo",IF(WEEKDAY(C237,2)=2,"Di",IF(WEEKDAY(C237,2)=3,"Mi",IF(WEEKDAY(C237,2)=4,"Do.",IF(WEEKDAY(C237,2)=5,"Fr.",IF(WEEKDAY(C237,2)=6,"Sa.","So"))))))</f>
        <v>So</v>
      </c>
      <c r="C237" s="47" t="n">
        <f aca="false">C236+1</f>
        <v>46229</v>
      </c>
      <c r="D237" s="48"/>
      <c r="E237" s="49"/>
      <c r="F237" s="76" t="s">
        <v>92</v>
      </c>
      <c r="G237" s="51" t="s">
        <v>93</v>
      </c>
      <c r="H237" s="52"/>
      <c r="I237" s="43"/>
      <c r="J237" s="43"/>
      <c r="K237" s="43"/>
      <c r="L237" s="43"/>
    </row>
    <row r="238" customFormat="false" ht="13.5" hidden="false" customHeight="false" outlineLevel="0" collapsed="false">
      <c r="A238" s="45" t="n">
        <f aca="false">A237+1</f>
        <v>148</v>
      </c>
      <c r="B238" s="46" t="str">
        <f aca="false">IF(WEEKDAY(C238,2)=1,"Mo",IF(WEEKDAY(C238,2)=2,"Di",IF(WEEKDAY(C238,2)=3,"Mi",IF(WEEKDAY(C238,2)=4,"Do.",IF(WEEKDAY(C238,2)=5,"Fr.",IF(WEEKDAY(C238,2)=6,"Sa.","So"))))))</f>
        <v>Mo</v>
      </c>
      <c r="C238" s="47" t="n">
        <f aca="false">C237+1</f>
        <v>46230</v>
      </c>
      <c r="D238" s="48" t="s">
        <v>91</v>
      </c>
      <c r="E238" s="49" t="n">
        <v>8.7</v>
      </c>
      <c r="F238" s="76" t="s">
        <v>92</v>
      </c>
      <c r="G238" s="51" t="s">
        <v>93</v>
      </c>
      <c r="H238" s="52" t="s">
        <v>207</v>
      </c>
      <c r="I238" s="43"/>
      <c r="J238" s="43"/>
      <c r="K238" s="43"/>
      <c r="L238" s="43"/>
    </row>
    <row r="239" customFormat="false" ht="13.5" hidden="false" customHeight="false" outlineLevel="0" collapsed="false">
      <c r="A239" s="45" t="n">
        <f aca="false">A238+1</f>
        <v>149</v>
      </c>
      <c r="B239" s="46" t="str">
        <f aca="false">IF(WEEKDAY(C239,2)=1,"Mo",IF(WEEKDAY(C239,2)=2,"Di",IF(WEEKDAY(C239,2)=3,"Mi",IF(WEEKDAY(C239,2)=4,"Do.",IF(WEEKDAY(C239,2)=5,"Fr.",IF(WEEKDAY(C239,2)=6,"Sa.","So"))))))</f>
        <v>Di</v>
      </c>
      <c r="C239" s="47" t="n">
        <f aca="false">C238+1</f>
        <v>46231</v>
      </c>
      <c r="D239" s="48" t="s">
        <v>91</v>
      </c>
      <c r="E239" s="49" t="n">
        <v>9.3</v>
      </c>
      <c r="F239" s="76" t="s">
        <v>92</v>
      </c>
      <c r="G239" s="51" t="s">
        <v>93</v>
      </c>
      <c r="H239" s="52" t="s">
        <v>208</v>
      </c>
      <c r="I239" s="43"/>
      <c r="J239" s="43"/>
      <c r="K239" s="43"/>
      <c r="L239" s="43"/>
    </row>
    <row r="240" customFormat="false" ht="13.5" hidden="false" customHeight="false" outlineLevel="0" collapsed="false">
      <c r="A240" s="45" t="n">
        <f aca="false">A239+1</f>
        <v>150</v>
      </c>
      <c r="B240" s="46" t="str">
        <f aca="false">IF(WEEKDAY(C240,2)=1,"Mo",IF(WEEKDAY(C240,2)=2,"Di",IF(WEEKDAY(C240,2)=3,"Mi",IF(WEEKDAY(C240,2)=4,"Do.",IF(WEEKDAY(C240,2)=5,"Fr.",IF(WEEKDAY(C240,2)=6,"Sa.","So"))))))</f>
        <v>Mi</v>
      </c>
      <c r="C240" s="47" t="n">
        <f aca="false">C239+1</f>
        <v>46232</v>
      </c>
      <c r="D240" s="48" t="s">
        <v>91</v>
      </c>
      <c r="E240" s="49" t="n">
        <v>8.05</v>
      </c>
      <c r="F240" s="76" t="s">
        <v>92</v>
      </c>
      <c r="G240" s="51" t="s">
        <v>93</v>
      </c>
      <c r="H240" s="52" t="s">
        <v>209</v>
      </c>
      <c r="I240" s="43"/>
      <c r="J240" s="43"/>
      <c r="K240" s="43"/>
      <c r="L240" s="43"/>
    </row>
    <row r="241" customFormat="false" ht="13.5" hidden="false" customHeight="false" outlineLevel="0" collapsed="false">
      <c r="A241" s="45" t="n">
        <f aca="false">A240+1</f>
        <v>151</v>
      </c>
      <c r="B241" s="46" t="str">
        <f aca="false">IF(WEEKDAY(C241,2)=1,"Mo",IF(WEEKDAY(C241,2)=2,"Di",IF(WEEKDAY(C241,2)=3,"Mi",IF(WEEKDAY(C241,2)=4,"Do.",IF(WEEKDAY(C241,2)=5,"Fr.",IF(WEEKDAY(C241,2)=6,"Sa.","So"))))))</f>
        <v>Do.</v>
      </c>
      <c r="C241" s="47" t="n">
        <f aca="false">C240+1</f>
        <v>46233</v>
      </c>
      <c r="D241" s="48" t="s">
        <v>91</v>
      </c>
      <c r="E241" s="49" t="n">
        <v>8.55</v>
      </c>
      <c r="F241" s="76" t="s">
        <v>92</v>
      </c>
      <c r="G241" s="51" t="s">
        <v>93</v>
      </c>
      <c r="H241" s="52" t="s">
        <v>210</v>
      </c>
      <c r="I241" s="43"/>
      <c r="J241" s="43"/>
      <c r="K241" s="43"/>
      <c r="L241" s="43"/>
    </row>
    <row r="242" customFormat="false" ht="13.5" hidden="false" customHeight="false" outlineLevel="0" collapsed="false">
      <c r="A242" s="45" t="n">
        <f aca="false">A241+1</f>
        <v>152</v>
      </c>
      <c r="B242" s="46" t="str">
        <f aca="false">IF(WEEKDAY(C242,2)=1,"Mo",IF(WEEKDAY(C242,2)=2,"Di",IF(WEEKDAY(C242,2)=3,"Mi",IF(WEEKDAY(C242,2)=4,"Do.",IF(WEEKDAY(C242,2)=5,"Fr.",IF(WEEKDAY(C242,2)=6,"Sa.","So"))))))</f>
        <v>Fr.</v>
      </c>
      <c r="C242" s="47" t="n">
        <f aca="false">C241+1</f>
        <v>46234</v>
      </c>
      <c r="D242" s="48" t="s">
        <v>91</v>
      </c>
      <c r="E242" s="49" t="n">
        <v>9.15</v>
      </c>
      <c r="F242" s="76" t="s">
        <v>92</v>
      </c>
      <c r="G242" s="51" t="s">
        <v>93</v>
      </c>
      <c r="H242" s="52" t="s">
        <v>211</v>
      </c>
      <c r="I242" s="43"/>
      <c r="J242" s="43"/>
      <c r="K242" s="43"/>
      <c r="L242" s="43"/>
    </row>
    <row r="243" customFormat="false" ht="13.5" hidden="false" customHeight="false" outlineLevel="0" collapsed="false">
      <c r="A243" s="45" t="n">
        <f aca="false">A242+1</f>
        <v>153</v>
      </c>
      <c r="B243" s="46" t="str">
        <f aca="false">IF(WEEKDAY(C243,2)=1,"Mo",IF(WEEKDAY(C243,2)=2,"Di",IF(WEEKDAY(C243,2)=3,"Mi",IF(WEEKDAY(C243,2)=4,"Do.",IF(WEEKDAY(C243,2)=5,"Fr.",IF(WEEKDAY(C243,2)=6,"Sa.","So"))))))</f>
        <v>Sa.</v>
      </c>
      <c r="C243" s="47" t="n">
        <f aca="false">C242+1</f>
        <v>46235</v>
      </c>
      <c r="D243" s="48"/>
      <c r="E243" s="49"/>
      <c r="F243" s="76" t="s">
        <v>92</v>
      </c>
      <c r="G243" s="51"/>
      <c r="H243" s="52"/>
      <c r="I243" s="43"/>
      <c r="J243" s="43"/>
      <c r="K243" s="43"/>
      <c r="L243" s="43"/>
    </row>
    <row r="244" customFormat="false" ht="13.5" hidden="false" customHeight="false" outlineLevel="0" collapsed="false">
      <c r="A244" s="45" t="n">
        <f aca="false">A243+1</f>
        <v>154</v>
      </c>
      <c r="B244" s="46" t="str">
        <f aca="false">IF(WEEKDAY(C244,2)=1,"Mo",IF(WEEKDAY(C244,2)=2,"Di",IF(WEEKDAY(C244,2)=3,"Mi",IF(WEEKDAY(C244,2)=4,"Do.",IF(WEEKDAY(C244,2)=5,"Fr.",IF(WEEKDAY(C244,2)=6,"Sa.","So"))))))</f>
        <v>So</v>
      </c>
      <c r="C244" s="47" t="n">
        <f aca="false">C243+1</f>
        <v>46236</v>
      </c>
      <c r="D244" s="48"/>
      <c r="E244" s="49"/>
      <c r="F244" s="76" t="s">
        <v>92</v>
      </c>
      <c r="G244" s="51"/>
      <c r="H244" s="52"/>
      <c r="I244" s="43"/>
      <c r="J244" s="43"/>
      <c r="K244" s="43"/>
      <c r="L244" s="43"/>
    </row>
    <row r="245" customFormat="false" ht="13.5" hidden="false" customHeight="false" outlineLevel="0" collapsed="false">
      <c r="A245" s="45" t="n">
        <f aca="false">A244+1</f>
        <v>155</v>
      </c>
      <c r="B245" s="46" t="str">
        <f aca="false">IF(WEEKDAY(C245,2)=1,"Mo",IF(WEEKDAY(C245,2)=2,"Di",IF(WEEKDAY(C245,2)=3,"Mi",IF(WEEKDAY(C245,2)=4,"Do.",IF(WEEKDAY(C245,2)=5,"Fr.",IF(WEEKDAY(C245,2)=6,"Sa.","So"))))))</f>
        <v>Mo</v>
      </c>
      <c r="C245" s="47" t="n">
        <f aca="false">C244+1</f>
        <v>46237</v>
      </c>
      <c r="D245" s="48"/>
      <c r="E245" s="49"/>
      <c r="F245" s="76" t="s">
        <v>92</v>
      </c>
      <c r="G245" s="51"/>
      <c r="H245" s="52"/>
      <c r="I245" s="43"/>
      <c r="J245" s="43"/>
      <c r="K245" s="43"/>
      <c r="L245" s="43"/>
    </row>
    <row r="246" customFormat="false" ht="13.5" hidden="false" customHeight="false" outlineLevel="0" collapsed="false">
      <c r="A246" s="45" t="n">
        <f aca="false">A245+1</f>
        <v>156</v>
      </c>
      <c r="B246" s="46" t="str">
        <f aca="false">IF(WEEKDAY(C246,2)=1,"Mo",IF(WEEKDAY(C246,2)=2,"Di",IF(WEEKDAY(C246,2)=3,"Mi",IF(WEEKDAY(C246,2)=4,"Do.",IF(WEEKDAY(C246,2)=5,"Fr.",IF(WEEKDAY(C246,2)=6,"Sa.","So"))))))</f>
        <v>Di</v>
      </c>
      <c r="C246" s="47" t="n">
        <f aca="false">C245+1</f>
        <v>46238</v>
      </c>
      <c r="D246" s="48"/>
      <c r="E246" s="49"/>
      <c r="F246" s="76" t="s">
        <v>92</v>
      </c>
      <c r="G246" s="51"/>
      <c r="H246" s="52"/>
      <c r="I246" s="43"/>
      <c r="J246" s="43"/>
      <c r="K246" s="43"/>
      <c r="L246" s="43"/>
    </row>
    <row r="247" customFormat="false" ht="13.5" hidden="false" customHeight="false" outlineLevel="0" collapsed="false">
      <c r="A247" s="45" t="n">
        <f aca="false">A246+1</f>
        <v>157</v>
      </c>
      <c r="B247" s="46" t="str">
        <f aca="false">IF(WEEKDAY(C247,2)=1,"Mo",IF(WEEKDAY(C247,2)=2,"Di",IF(WEEKDAY(C247,2)=3,"Mi",IF(WEEKDAY(C247,2)=4,"Do.",IF(WEEKDAY(C247,2)=5,"Fr.",IF(WEEKDAY(C247,2)=6,"Sa.","So"))))))</f>
        <v>Mi</v>
      </c>
      <c r="C247" s="47" t="n">
        <f aca="false">C246+1</f>
        <v>46239</v>
      </c>
      <c r="D247" s="48"/>
      <c r="E247" s="49"/>
      <c r="F247" s="76" t="s">
        <v>92</v>
      </c>
      <c r="G247" s="51"/>
      <c r="H247" s="52"/>
      <c r="I247" s="43"/>
      <c r="J247" s="43"/>
      <c r="K247" s="43"/>
      <c r="L247" s="43"/>
    </row>
    <row r="248" customFormat="false" ht="13.5" hidden="false" customHeight="false" outlineLevel="0" collapsed="false">
      <c r="A248" s="45" t="n">
        <f aca="false">A247+1</f>
        <v>158</v>
      </c>
      <c r="B248" s="46" t="str">
        <f aca="false">IF(WEEKDAY(C248,2)=1,"Mo",IF(WEEKDAY(C248,2)=2,"Di",IF(WEEKDAY(C248,2)=3,"Mi",IF(WEEKDAY(C248,2)=4,"Do.",IF(WEEKDAY(C248,2)=5,"Fr.",IF(WEEKDAY(C248,2)=6,"Sa.","So"))))))</f>
        <v>Do.</v>
      </c>
      <c r="C248" s="47" t="n">
        <f aca="false">C247+1</f>
        <v>46240</v>
      </c>
      <c r="D248" s="48"/>
      <c r="E248" s="49"/>
      <c r="F248" s="76" t="s">
        <v>92</v>
      </c>
      <c r="G248" s="51"/>
      <c r="H248" s="52"/>
      <c r="I248" s="43"/>
      <c r="J248" s="43"/>
      <c r="K248" s="43"/>
      <c r="L248" s="43"/>
    </row>
    <row r="249" customFormat="false" ht="13.5" hidden="false" customHeight="false" outlineLevel="0" collapsed="false">
      <c r="A249" s="45" t="n">
        <f aca="false">A248+1</f>
        <v>159</v>
      </c>
      <c r="B249" s="46" t="str">
        <f aca="false">IF(WEEKDAY(C249,2)=1,"Mo",IF(WEEKDAY(C249,2)=2,"Di",IF(WEEKDAY(C249,2)=3,"Mi",IF(WEEKDAY(C249,2)=4,"Do.",IF(WEEKDAY(C249,2)=5,"Fr.",IF(WEEKDAY(C249,2)=6,"Sa.","So"))))))</f>
        <v>Fr.</v>
      </c>
      <c r="C249" s="47" t="n">
        <f aca="false">C248+1</f>
        <v>46241</v>
      </c>
      <c r="D249" s="48"/>
      <c r="E249" s="49"/>
      <c r="F249" s="76" t="s">
        <v>92</v>
      </c>
      <c r="G249" s="51"/>
      <c r="H249" s="52"/>
      <c r="I249" s="43"/>
      <c r="J249" s="43"/>
      <c r="K249" s="43"/>
      <c r="L249" s="43"/>
    </row>
    <row r="250" customFormat="false" ht="13.5" hidden="false" customHeight="false" outlineLevel="0" collapsed="false">
      <c r="A250" s="45" t="n">
        <f aca="false">A249+1</f>
        <v>160</v>
      </c>
      <c r="B250" s="46" t="str">
        <f aca="false">IF(WEEKDAY(C250,2)=1,"Mo",IF(WEEKDAY(C250,2)=2,"Di",IF(WEEKDAY(C250,2)=3,"Mi",IF(WEEKDAY(C250,2)=4,"Do.",IF(WEEKDAY(C250,2)=5,"Fr.",IF(WEEKDAY(C250,2)=6,"Sa.","So"))))))</f>
        <v>Sa.</v>
      </c>
      <c r="C250" s="47" t="n">
        <f aca="false">C249+1</f>
        <v>46242</v>
      </c>
      <c r="D250" s="48"/>
      <c r="E250" s="49"/>
      <c r="F250" s="76" t="s">
        <v>92</v>
      </c>
      <c r="G250" s="51"/>
      <c r="H250" s="52"/>
      <c r="I250" s="43"/>
      <c r="J250" s="43"/>
      <c r="K250" s="43"/>
      <c r="L250" s="43"/>
    </row>
    <row r="251" customFormat="false" ht="13.5" hidden="false" customHeight="false" outlineLevel="0" collapsed="false">
      <c r="A251" s="45" t="n">
        <f aca="false">A250+1</f>
        <v>161</v>
      </c>
      <c r="B251" s="46" t="str">
        <f aca="false">IF(WEEKDAY(C251,2)=1,"Mo",IF(WEEKDAY(C251,2)=2,"Di",IF(WEEKDAY(C251,2)=3,"Mi",IF(WEEKDAY(C251,2)=4,"Do.",IF(WEEKDAY(C251,2)=5,"Fr.",IF(WEEKDAY(C251,2)=6,"Sa.","So"))))))</f>
        <v>So</v>
      </c>
      <c r="C251" s="47" t="n">
        <f aca="false">C250+1</f>
        <v>46243</v>
      </c>
      <c r="D251" s="48"/>
      <c r="E251" s="49"/>
      <c r="F251" s="76" t="s">
        <v>92</v>
      </c>
      <c r="G251" s="51"/>
      <c r="H251" s="52"/>
      <c r="I251" s="43"/>
      <c r="J251" s="43"/>
      <c r="K251" s="43"/>
      <c r="L251" s="43"/>
    </row>
    <row r="252" customFormat="false" ht="13.5" hidden="false" customHeight="false" outlineLevel="0" collapsed="false">
      <c r="A252" s="45" t="n">
        <f aca="false">A251+1</f>
        <v>162</v>
      </c>
      <c r="B252" s="46" t="str">
        <f aca="false">IF(WEEKDAY(C252,2)=1,"Mo",IF(WEEKDAY(C252,2)=2,"Di",IF(WEEKDAY(C252,2)=3,"Mi",IF(WEEKDAY(C252,2)=4,"Do.",IF(WEEKDAY(C252,2)=5,"Fr.",IF(WEEKDAY(C252,2)=6,"Sa.","So"))))))</f>
        <v>Mo</v>
      </c>
      <c r="C252" s="47" t="n">
        <f aca="false">C251+1</f>
        <v>46244</v>
      </c>
      <c r="D252" s="48"/>
      <c r="E252" s="49"/>
      <c r="F252" s="76" t="s">
        <v>92</v>
      </c>
      <c r="G252" s="51"/>
      <c r="H252" s="52"/>
      <c r="I252" s="43"/>
      <c r="J252" s="43"/>
      <c r="K252" s="43"/>
      <c r="L252" s="43"/>
    </row>
    <row r="253" customFormat="false" ht="13.5" hidden="false" customHeight="false" outlineLevel="0" collapsed="false">
      <c r="A253" s="45" t="n">
        <f aca="false">A252+1</f>
        <v>163</v>
      </c>
      <c r="B253" s="46" t="str">
        <f aca="false">IF(WEEKDAY(C253,2)=1,"Mo",IF(WEEKDAY(C253,2)=2,"Di",IF(WEEKDAY(C253,2)=3,"Mi",IF(WEEKDAY(C253,2)=4,"Do.",IF(WEEKDAY(C253,2)=5,"Fr.",IF(WEEKDAY(C253,2)=6,"Sa.","So"))))))</f>
        <v>Di</v>
      </c>
      <c r="C253" s="47" t="n">
        <f aca="false">C252+1</f>
        <v>46245</v>
      </c>
      <c r="D253" s="48"/>
      <c r="E253" s="49"/>
      <c r="F253" s="76" t="s">
        <v>92</v>
      </c>
      <c r="G253" s="51"/>
      <c r="H253" s="52"/>
      <c r="I253" s="43"/>
      <c r="J253" s="43"/>
      <c r="K253" s="43"/>
      <c r="L253" s="43"/>
    </row>
    <row r="254" customFormat="false" ht="13.5" hidden="false" customHeight="false" outlineLevel="0" collapsed="false">
      <c r="A254" s="45" t="n">
        <f aca="false">A253+1</f>
        <v>164</v>
      </c>
      <c r="B254" s="46" t="str">
        <f aca="false">IF(WEEKDAY(C254,2)=1,"Mo",IF(WEEKDAY(C254,2)=2,"Di",IF(WEEKDAY(C254,2)=3,"Mi",IF(WEEKDAY(C254,2)=4,"Do.",IF(WEEKDAY(C254,2)=5,"Fr.",IF(WEEKDAY(C254,2)=6,"Sa.","So"))))))</f>
        <v>Mi</v>
      </c>
      <c r="C254" s="47" t="n">
        <f aca="false">C253+1</f>
        <v>46246</v>
      </c>
      <c r="D254" s="48"/>
      <c r="E254" s="49"/>
      <c r="F254" s="76" t="s">
        <v>92</v>
      </c>
      <c r="G254" s="51"/>
      <c r="H254" s="52"/>
      <c r="I254" s="43"/>
      <c r="J254" s="43"/>
      <c r="K254" s="43"/>
      <c r="L254" s="43"/>
    </row>
    <row r="255" customFormat="false" ht="13.5" hidden="false" customHeight="false" outlineLevel="0" collapsed="false">
      <c r="A255" s="45" t="n">
        <f aca="false">A254+1</f>
        <v>165</v>
      </c>
      <c r="B255" s="46" t="str">
        <f aca="false">IF(WEEKDAY(C255,2)=1,"Mo",IF(WEEKDAY(C255,2)=2,"Di",IF(WEEKDAY(C255,2)=3,"Mi",IF(WEEKDAY(C255,2)=4,"Do.",IF(WEEKDAY(C255,2)=5,"Fr.",IF(WEEKDAY(C255,2)=6,"Sa.","So"))))))</f>
        <v>Do.</v>
      </c>
      <c r="C255" s="47" t="n">
        <f aca="false">C254+1</f>
        <v>46247</v>
      </c>
      <c r="D255" s="48"/>
      <c r="E255" s="49"/>
      <c r="F255" s="76" t="s">
        <v>92</v>
      </c>
      <c r="G255" s="51"/>
      <c r="H255" s="52"/>
      <c r="I255" s="43"/>
      <c r="J255" s="43"/>
      <c r="K255" s="43"/>
      <c r="L255" s="43"/>
    </row>
    <row r="256" customFormat="false" ht="13.5" hidden="false" customHeight="false" outlineLevel="0" collapsed="false">
      <c r="A256" s="45" t="n">
        <f aca="false">A255+1</f>
        <v>166</v>
      </c>
      <c r="B256" s="46" t="str">
        <f aca="false">IF(WEEKDAY(C256,2)=1,"Mo",IF(WEEKDAY(C256,2)=2,"Di",IF(WEEKDAY(C256,2)=3,"Mi",IF(WEEKDAY(C256,2)=4,"Do.",IF(WEEKDAY(C256,2)=5,"Fr.",IF(WEEKDAY(C256,2)=6,"Sa.","So"))))))</f>
        <v>Fr.</v>
      </c>
      <c r="C256" s="47" t="n">
        <f aca="false">C255+1</f>
        <v>46248</v>
      </c>
      <c r="D256" s="48"/>
      <c r="E256" s="49"/>
      <c r="F256" s="76" t="s">
        <v>92</v>
      </c>
      <c r="G256" s="51"/>
      <c r="H256" s="52"/>
      <c r="I256" s="43"/>
      <c r="J256" s="43"/>
      <c r="K256" s="43"/>
      <c r="L256" s="43"/>
    </row>
    <row r="257" customFormat="false" ht="13.5" hidden="false" customHeight="false" outlineLevel="0" collapsed="false">
      <c r="A257" s="45" t="n">
        <f aca="false">A256+1</f>
        <v>167</v>
      </c>
      <c r="B257" s="46" t="str">
        <f aca="false">IF(WEEKDAY(C257,2)=1,"Mo",IF(WEEKDAY(C257,2)=2,"Di",IF(WEEKDAY(C257,2)=3,"Mi",IF(WEEKDAY(C257,2)=4,"Do.",IF(WEEKDAY(C257,2)=5,"Fr.",IF(WEEKDAY(C257,2)=6,"Sa.","So"))))))</f>
        <v>Sa.</v>
      </c>
      <c r="C257" s="47" t="n">
        <f aca="false">C256+1</f>
        <v>46249</v>
      </c>
      <c r="D257" s="48"/>
      <c r="E257" s="49"/>
      <c r="F257" s="76" t="s">
        <v>92</v>
      </c>
      <c r="G257" s="51"/>
      <c r="H257" s="52"/>
      <c r="I257" s="43"/>
      <c r="J257" s="43"/>
      <c r="K257" s="43"/>
      <c r="L257" s="43"/>
    </row>
    <row r="258" customFormat="false" ht="14.25" hidden="false" customHeight="true" outlineLevel="0" collapsed="false">
      <c r="A258" s="55" t="n">
        <f aca="false">A257+1</f>
        <v>168</v>
      </c>
      <c r="B258" s="56" t="str">
        <f aca="false">IF(WEEKDAY(C258,2)=1,"Mo",IF(WEEKDAY(C258,2)=2,"Di",IF(WEEKDAY(C258,2)=3,"Mi",IF(WEEKDAY(C258,2)=4,"Do.",IF(WEEKDAY(C258,2)=5,"Fr.",IF(WEEKDAY(C258,2)=6,"Sa.","So"))))))</f>
        <v>So</v>
      </c>
      <c r="C258" s="57" t="n">
        <f aca="false">C257+1</f>
        <v>46250</v>
      </c>
      <c r="D258" s="58"/>
      <c r="E258" s="59"/>
      <c r="F258" s="77" t="s">
        <v>92</v>
      </c>
      <c r="G258" s="61"/>
      <c r="H258" s="62"/>
      <c r="I258" s="43"/>
      <c r="J258" s="43"/>
      <c r="K258" s="43"/>
      <c r="L258" s="43"/>
      <c r="N258" s="63"/>
      <c r="O258" s="64" t="s">
        <v>212</v>
      </c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</row>
    <row r="259" customFormat="false" ht="13.5" hidden="false" customHeight="false" outlineLevel="0" collapsed="false">
      <c r="A259" s="44"/>
      <c r="B259" s="44"/>
      <c r="C259" s="44"/>
      <c r="D259" s="44"/>
      <c r="E259" s="44"/>
      <c r="F259" s="2"/>
      <c r="G259" s="2"/>
      <c r="H259" s="44"/>
      <c r="I259" s="44"/>
      <c r="J259" s="44"/>
      <c r="K259" s="44"/>
      <c r="L259" s="44"/>
      <c r="N259" s="65"/>
      <c r="O259" s="1" t="s">
        <v>117</v>
      </c>
    </row>
    <row r="260" customFormat="false" ht="13.5" hidden="false" customHeight="false" outlineLevel="0" collapsed="false">
      <c r="A260" s="66" t="str">
        <f aca="false">Student_Name</f>
        <v>Hassine</v>
      </c>
      <c r="B260" s="66"/>
      <c r="C260" s="66"/>
      <c r="D260" s="66"/>
      <c r="E260" s="66"/>
      <c r="F260" s="66"/>
      <c r="G260" s="10"/>
      <c r="H260" s="66" t="str">
        <f aca="false">Ausbildungsbetrieb_Unternehmen</f>
        <v>Mechanische Werkstätte Schmidt e.K.</v>
      </c>
      <c r="I260" s="67"/>
      <c r="J260" s="67"/>
      <c r="K260" s="67"/>
      <c r="L260" s="67"/>
    </row>
    <row r="261" customFormat="false" ht="13.5" hidden="false" customHeight="false" outlineLevel="0" collapsed="false">
      <c r="A261" s="68" t="s">
        <v>31</v>
      </c>
      <c r="B261" s="68"/>
      <c r="C261" s="68"/>
      <c r="D261" s="68"/>
      <c r="E261" s="68"/>
      <c r="F261" s="9"/>
      <c r="G261" s="9"/>
      <c r="H261" s="68" t="s">
        <v>32</v>
      </c>
      <c r="I261" s="68"/>
      <c r="J261" s="68"/>
      <c r="K261" s="68"/>
      <c r="L261" s="68"/>
    </row>
    <row r="262" customFormat="false" ht="13.5" hidden="false" customHeight="false" outlineLevel="0" collapsed="false">
      <c r="A262" s="67"/>
      <c r="B262" s="67"/>
      <c r="C262" s="67"/>
      <c r="D262" s="67"/>
      <c r="E262" s="67"/>
      <c r="F262" s="10"/>
      <c r="G262" s="10"/>
      <c r="H262" s="67"/>
      <c r="I262" s="67"/>
      <c r="J262" s="67"/>
      <c r="K262" s="67"/>
      <c r="L262" s="67"/>
    </row>
    <row r="263" customFormat="false" ht="13.5" hidden="false" customHeight="false" outlineLevel="0" collapsed="false">
      <c r="A263" s="66" t="str">
        <f aca="false">Student_Vorname</f>
        <v>Houcine</v>
      </c>
      <c r="B263" s="66"/>
      <c r="C263" s="66"/>
      <c r="D263" s="66"/>
      <c r="E263" s="66"/>
      <c r="F263" s="66"/>
      <c r="G263" s="10"/>
      <c r="H263" s="66" t="str">
        <f aca="false">CONCATENATE(Ausbildungsbetrieb_Vorname, " ", Ausbildungsbetrieb_Name)</f>
        <v>Amine Halloul</v>
      </c>
      <c r="I263" s="67"/>
      <c r="J263" s="67"/>
      <c r="K263" s="67"/>
      <c r="L263" s="67"/>
    </row>
    <row r="264" customFormat="false" ht="13.5" hidden="false" customHeight="false" outlineLevel="0" collapsed="false">
      <c r="A264" s="68" t="s">
        <v>34</v>
      </c>
      <c r="B264" s="68"/>
      <c r="C264" s="68"/>
      <c r="D264" s="68"/>
      <c r="E264" s="68"/>
      <c r="F264" s="9"/>
      <c r="G264" s="9"/>
      <c r="H264" s="68" t="s">
        <v>82</v>
      </c>
      <c r="I264" s="68"/>
      <c r="J264" s="68"/>
      <c r="K264" s="68"/>
      <c r="L264" s="68"/>
    </row>
    <row r="265" customFormat="false" ht="13.5" hidden="false" customHeight="false" outlineLevel="0" collapsed="false">
      <c r="A265" s="67"/>
      <c r="B265" s="67"/>
      <c r="C265" s="67"/>
      <c r="D265" s="67"/>
      <c r="E265" s="67"/>
      <c r="F265" s="10"/>
      <c r="G265" s="10"/>
      <c r="H265" s="67"/>
      <c r="I265" s="67"/>
      <c r="J265" s="67"/>
      <c r="K265" s="67"/>
      <c r="L265" s="67"/>
    </row>
    <row r="266" customFormat="false" ht="13.5" hidden="false" customHeight="false" outlineLevel="0" collapsed="false">
      <c r="A266" s="66" t="str">
        <f aca="false">Student_Studiengruppe</f>
        <v>PA6</v>
      </c>
      <c r="B266" s="66"/>
      <c r="C266" s="66"/>
      <c r="D266" s="66"/>
      <c r="E266" s="66"/>
      <c r="F266" s="66"/>
      <c r="G266" s="10"/>
      <c r="H266" s="66" t="str">
        <f aca="false">Ausbildungsbetrieb_Email</f>
        <v>⟨E-Mail Betreuer⟩</v>
      </c>
      <c r="I266" s="67"/>
      <c r="J266" s="67"/>
      <c r="K266" s="67"/>
      <c r="L266" s="67"/>
    </row>
    <row r="267" customFormat="false" ht="13.5" hidden="false" customHeight="false" outlineLevel="0" collapsed="false">
      <c r="A267" s="68" t="s">
        <v>38</v>
      </c>
      <c r="B267" s="68"/>
      <c r="C267" s="68"/>
      <c r="D267" s="68"/>
      <c r="E267" s="68"/>
      <c r="F267" s="9"/>
      <c r="G267" s="9"/>
      <c r="H267" s="68" t="s">
        <v>83</v>
      </c>
      <c r="I267" s="68"/>
      <c r="J267" s="68"/>
      <c r="K267" s="68"/>
      <c r="L267" s="68"/>
    </row>
    <row r="268" customFormat="false" ht="13.5" hidden="false" customHeight="false" outlineLevel="0" collapsed="false">
      <c r="A268" s="67"/>
      <c r="B268" s="67"/>
      <c r="C268" s="67"/>
      <c r="D268" s="67"/>
      <c r="E268" s="67"/>
      <c r="F268" s="10"/>
      <c r="G268" s="10"/>
      <c r="H268" s="67"/>
      <c r="I268" s="67"/>
      <c r="J268" s="67"/>
      <c r="K268" s="67"/>
      <c r="L268" s="67"/>
    </row>
    <row r="269" customFormat="false" ht="13.5" hidden="false" customHeight="false" outlineLevel="0" collapsed="false">
      <c r="A269" s="66" t="str">
        <f aca="false">Student_Matrikelnummer</f>
        <v>3399727</v>
      </c>
      <c r="B269" s="66"/>
      <c r="C269" s="66"/>
      <c r="D269" s="66"/>
      <c r="E269" s="66"/>
      <c r="F269" s="66"/>
      <c r="G269" s="10"/>
      <c r="H269" s="66" t="str">
        <f aca="false">Ausbildungsbetrieb_Telefon</f>
        <v>⟨Telefon Betreuer⟩</v>
      </c>
      <c r="I269" s="67"/>
      <c r="J269" s="67"/>
      <c r="K269" s="67"/>
      <c r="L269" s="67"/>
    </row>
    <row r="270" customFormat="false" ht="13.5" hidden="false" customHeight="false" outlineLevel="0" collapsed="false">
      <c r="A270" s="68" t="s">
        <v>42</v>
      </c>
      <c r="B270" s="68"/>
      <c r="C270" s="68"/>
      <c r="D270" s="68"/>
      <c r="E270" s="68"/>
      <c r="F270" s="9"/>
      <c r="G270" s="9"/>
      <c r="H270" s="68" t="s">
        <v>84</v>
      </c>
      <c r="I270" s="68"/>
      <c r="J270" s="68"/>
      <c r="K270" s="68"/>
      <c r="L270" s="68"/>
    </row>
    <row r="271" customFormat="false" ht="14.25" hidden="false" customHeight="true" outlineLevel="0" collapsed="false">
      <c r="A271" s="67"/>
      <c r="B271" s="67"/>
      <c r="C271" s="67"/>
      <c r="D271" s="67"/>
      <c r="E271" s="67"/>
      <c r="F271" s="10"/>
      <c r="G271" s="10"/>
      <c r="H271" s="67"/>
      <c r="I271" s="67"/>
      <c r="J271" s="67"/>
      <c r="K271" s="67"/>
      <c r="L271" s="67"/>
    </row>
    <row r="272" customFormat="false" ht="13.5" hidden="false" customHeight="false" outlineLevel="0" collapsed="false">
      <c r="A272" s="69"/>
      <c r="B272" s="70"/>
      <c r="C272" s="70"/>
      <c r="D272" s="70"/>
      <c r="E272" s="70" t="s">
        <v>85</v>
      </c>
      <c r="F272" s="28"/>
      <c r="G272" s="28"/>
      <c r="H272" s="71" t="s">
        <v>86</v>
      </c>
      <c r="I272" s="44"/>
      <c r="J272" s="44"/>
      <c r="K272" s="44"/>
      <c r="L272" s="44"/>
    </row>
    <row r="273" customFormat="false" ht="14.25" hidden="false" customHeight="true" outlineLevel="0" collapsed="false">
      <c r="A273" s="72" t="s">
        <v>87</v>
      </c>
      <c r="B273" s="72"/>
      <c r="C273" s="73" t="s">
        <v>88</v>
      </c>
      <c r="D273" s="73"/>
      <c r="E273" s="74" t="s">
        <v>89</v>
      </c>
      <c r="F273" s="74"/>
      <c r="G273" s="33"/>
      <c r="H273" s="75" t="s">
        <v>90</v>
      </c>
      <c r="I273" s="44"/>
      <c r="J273" s="44"/>
      <c r="K273" s="44"/>
      <c r="L273" s="44"/>
    </row>
    <row r="274" customFormat="false" ht="13.8" hidden="false" customHeight="false" outlineLevel="0" collapsed="false">
      <c r="A274" s="35" t="n">
        <f aca="false">A258</f>
        <v>168</v>
      </c>
      <c r="B274" s="36" t="str">
        <f aca="false">IF(WEEKDAY(C274,2)=1,"Mo",IF(WEEKDAY(C274,2)=2,"Di",IF(WEEKDAY(C274,2)=3,"Mi",IF(WEEKDAY(C274,2)=4,"Do.",IF(WEEKDAY(C274,2)=5,"Fr.",IF(WEEKDAY(C274,2)=6,"Sa.","So"))))))</f>
        <v>Mo</v>
      </c>
      <c r="C274" s="37" t="n">
        <f aca="false">C258+1</f>
        <v>46251</v>
      </c>
      <c r="D274" s="38"/>
      <c r="E274" s="39"/>
      <c r="F274" s="78" t="s">
        <v>92</v>
      </c>
      <c r="G274" s="41"/>
      <c r="H274" s="42"/>
      <c r="I274" s="43"/>
      <c r="J274" s="43"/>
      <c r="K274" s="43"/>
      <c r="L274" s="43"/>
    </row>
    <row r="275" customFormat="false" ht="13.8" hidden="false" customHeight="false" outlineLevel="0" collapsed="false">
      <c r="A275" s="45" t="n">
        <f aca="false">A274+1</f>
        <v>169</v>
      </c>
      <c r="B275" s="46" t="str">
        <f aca="false">IF(WEEKDAY(C275,2)=1,"Mo",IF(WEEKDAY(C275,2)=2,"Di",IF(WEEKDAY(C275,2)=3,"Mi",IF(WEEKDAY(C275,2)=4,"Do.",IF(WEEKDAY(C275,2)=5,"Fr.",IF(WEEKDAY(C275,2)=6,"Sa.","So"))))))</f>
        <v>Di</v>
      </c>
      <c r="C275" s="47" t="n">
        <f aca="false">C274+1</f>
        <v>46252</v>
      </c>
      <c r="D275" s="48"/>
      <c r="E275" s="49"/>
      <c r="F275" s="76" t="s">
        <v>92</v>
      </c>
      <c r="G275" s="51"/>
      <c r="H275" s="52"/>
      <c r="I275" s="43"/>
      <c r="J275" s="43"/>
      <c r="K275" s="43"/>
      <c r="L275" s="43"/>
    </row>
    <row r="276" customFormat="false" ht="13.8" hidden="false" customHeight="false" outlineLevel="0" collapsed="false">
      <c r="A276" s="45" t="n">
        <f aca="false">A275+1</f>
        <v>170</v>
      </c>
      <c r="B276" s="46" t="str">
        <f aca="false">IF(WEEKDAY(C276,2)=1,"Mo",IF(WEEKDAY(C276,2)=2,"Di",IF(WEEKDAY(C276,2)=3,"Mi",IF(WEEKDAY(C276,2)=4,"Do.",IF(WEEKDAY(C276,2)=5,"Fr.",IF(WEEKDAY(C276,2)=6,"Sa.","So"))))))</f>
        <v>Mi</v>
      </c>
      <c r="C276" s="47" t="n">
        <f aca="false">C275+1</f>
        <v>46253</v>
      </c>
      <c r="D276" s="48"/>
      <c r="E276" s="49"/>
      <c r="F276" s="76" t="s">
        <v>92</v>
      </c>
      <c r="G276" s="51"/>
      <c r="H276" s="52"/>
      <c r="I276" s="43"/>
      <c r="J276" s="43"/>
      <c r="K276" s="43"/>
      <c r="L276" s="43"/>
    </row>
    <row r="277" customFormat="false" ht="13.8" hidden="false" customHeight="false" outlineLevel="0" collapsed="false">
      <c r="A277" s="45" t="n">
        <f aca="false">A276+1</f>
        <v>171</v>
      </c>
      <c r="B277" s="46" t="str">
        <f aca="false">IF(WEEKDAY(C277,2)=1,"Mo",IF(WEEKDAY(C277,2)=2,"Di",IF(WEEKDAY(C277,2)=3,"Mi",IF(WEEKDAY(C277,2)=4,"Do.",IF(WEEKDAY(C277,2)=5,"Fr.",IF(WEEKDAY(C277,2)=6,"Sa.","So"))))))</f>
        <v>Do.</v>
      </c>
      <c r="C277" s="47" t="n">
        <f aca="false">C276+1</f>
        <v>46254</v>
      </c>
      <c r="D277" s="48"/>
      <c r="E277" s="49"/>
      <c r="F277" s="76" t="s">
        <v>92</v>
      </c>
      <c r="G277" s="51"/>
      <c r="H277" s="52"/>
      <c r="I277" s="43"/>
      <c r="J277" s="43"/>
      <c r="K277" s="43"/>
      <c r="L277" s="43"/>
    </row>
    <row r="278" customFormat="false" ht="13.8" hidden="false" customHeight="false" outlineLevel="0" collapsed="false">
      <c r="A278" s="45" t="n">
        <f aca="false">A277+1</f>
        <v>172</v>
      </c>
      <c r="B278" s="46" t="str">
        <f aca="false">IF(WEEKDAY(C278,2)=1,"Mo",IF(WEEKDAY(C278,2)=2,"Di",IF(WEEKDAY(C278,2)=3,"Mi",IF(WEEKDAY(C278,2)=4,"Do.",IF(WEEKDAY(C278,2)=5,"Fr.",IF(WEEKDAY(C278,2)=6,"Sa.","So"))))))</f>
        <v>Fr.</v>
      </c>
      <c r="C278" s="47" t="n">
        <f aca="false">C277+1</f>
        <v>46255</v>
      </c>
      <c r="D278" s="48"/>
      <c r="E278" s="49"/>
      <c r="F278" s="76" t="s">
        <v>92</v>
      </c>
      <c r="G278" s="51"/>
      <c r="H278" s="52"/>
      <c r="I278" s="43"/>
      <c r="J278" s="43"/>
      <c r="K278" s="43"/>
      <c r="L278" s="43"/>
    </row>
    <row r="279" customFormat="false" ht="13.8" hidden="false" customHeight="false" outlineLevel="0" collapsed="false">
      <c r="A279" s="45" t="n">
        <f aca="false">A278+1</f>
        <v>173</v>
      </c>
      <c r="B279" s="46" t="str">
        <f aca="false">IF(WEEKDAY(C279,2)=1,"Mo",IF(WEEKDAY(C279,2)=2,"Di",IF(WEEKDAY(C279,2)=3,"Mi",IF(WEEKDAY(C279,2)=4,"Do.",IF(WEEKDAY(C279,2)=5,"Fr.",IF(WEEKDAY(C279,2)=6,"Sa.","So"))))))</f>
        <v>Sa.</v>
      </c>
      <c r="C279" s="47" t="n">
        <f aca="false">C278+1</f>
        <v>46256</v>
      </c>
      <c r="D279" s="48"/>
      <c r="E279" s="49"/>
      <c r="F279" s="76" t="s">
        <v>92</v>
      </c>
      <c r="G279" s="51"/>
      <c r="H279" s="52"/>
      <c r="I279" s="43"/>
      <c r="J279" s="43"/>
      <c r="K279" s="43"/>
      <c r="L279" s="43"/>
    </row>
    <row r="280" customFormat="false" ht="13.8" hidden="false" customHeight="false" outlineLevel="0" collapsed="false">
      <c r="A280" s="45" t="n">
        <f aca="false">A279+1</f>
        <v>174</v>
      </c>
      <c r="B280" s="46" t="str">
        <f aca="false">IF(WEEKDAY(C280,2)=1,"Mo",IF(WEEKDAY(C280,2)=2,"Di",IF(WEEKDAY(C280,2)=3,"Mi",IF(WEEKDAY(C280,2)=4,"Do.",IF(WEEKDAY(C280,2)=5,"Fr.",IF(WEEKDAY(C280,2)=6,"Sa.","So"))))))</f>
        <v>So</v>
      </c>
      <c r="C280" s="47" t="n">
        <f aca="false">C279+1</f>
        <v>46257</v>
      </c>
      <c r="D280" s="48"/>
      <c r="E280" s="49"/>
      <c r="F280" s="76" t="s">
        <v>92</v>
      </c>
      <c r="G280" s="51"/>
      <c r="H280" s="52"/>
      <c r="I280" s="43"/>
      <c r="J280" s="43"/>
      <c r="K280" s="43"/>
      <c r="L280" s="43"/>
    </row>
    <row r="281" customFormat="false" ht="13.8" hidden="false" customHeight="false" outlineLevel="0" collapsed="false">
      <c r="A281" s="45" t="n">
        <f aca="false">A280+1</f>
        <v>175</v>
      </c>
      <c r="B281" s="46" t="str">
        <f aca="false">IF(WEEKDAY(C281,2)=1,"Mo",IF(WEEKDAY(C281,2)=2,"Di",IF(WEEKDAY(C281,2)=3,"Mi",IF(WEEKDAY(C281,2)=4,"Do.",IF(WEEKDAY(C281,2)=5,"Fr.",IF(WEEKDAY(C281,2)=6,"Sa.","So"))))))</f>
        <v>Mo</v>
      </c>
      <c r="C281" s="47" t="n">
        <f aca="false">C280+1</f>
        <v>46258</v>
      </c>
      <c r="D281" s="48"/>
      <c r="E281" s="49"/>
      <c r="F281" s="76" t="s">
        <v>92</v>
      </c>
      <c r="G281" s="51"/>
      <c r="H281" s="52"/>
      <c r="I281" s="43"/>
      <c r="J281" s="43"/>
      <c r="K281" s="43"/>
      <c r="L281" s="43"/>
    </row>
    <row r="282" customFormat="false" ht="13.8" hidden="false" customHeight="false" outlineLevel="0" collapsed="false">
      <c r="A282" s="45" t="n">
        <f aca="false">A281+1</f>
        <v>176</v>
      </c>
      <c r="B282" s="46" t="str">
        <f aca="false">IF(WEEKDAY(C282,2)=1,"Mo",IF(WEEKDAY(C282,2)=2,"Di",IF(WEEKDAY(C282,2)=3,"Mi",IF(WEEKDAY(C282,2)=4,"Do.",IF(WEEKDAY(C282,2)=5,"Fr.",IF(WEEKDAY(C282,2)=6,"Sa.","So"))))))</f>
        <v>Di</v>
      </c>
      <c r="C282" s="47" t="n">
        <f aca="false">C281+1</f>
        <v>46259</v>
      </c>
      <c r="D282" s="48"/>
      <c r="E282" s="49"/>
      <c r="F282" s="76" t="s">
        <v>92</v>
      </c>
      <c r="G282" s="51"/>
      <c r="H282" s="52"/>
      <c r="I282" s="43"/>
      <c r="J282" s="43"/>
      <c r="K282" s="43"/>
      <c r="L282" s="43"/>
    </row>
    <row r="283" customFormat="false" ht="13.8" hidden="false" customHeight="false" outlineLevel="0" collapsed="false">
      <c r="A283" s="45" t="n">
        <f aca="false">A282+1</f>
        <v>177</v>
      </c>
      <c r="B283" s="46" t="str">
        <f aca="false">IF(WEEKDAY(C283,2)=1,"Mo",IF(WEEKDAY(C283,2)=2,"Di",IF(WEEKDAY(C283,2)=3,"Mi",IF(WEEKDAY(C283,2)=4,"Do.",IF(WEEKDAY(C283,2)=5,"Fr.",IF(WEEKDAY(C283,2)=6,"Sa.","So"))))))</f>
        <v>Mi</v>
      </c>
      <c r="C283" s="47" t="n">
        <f aca="false">C282+1</f>
        <v>46260</v>
      </c>
      <c r="D283" s="48"/>
      <c r="E283" s="49"/>
      <c r="F283" s="76" t="s">
        <v>92</v>
      </c>
      <c r="G283" s="51"/>
      <c r="H283" s="52"/>
      <c r="I283" s="43"/>
      <c r="J283" s="43"/>
      <c r="K283" s="43"/>
      <c r="L283" s="43"/>
    </row>
    <row r="284" customFormat="false" ht="13.8" hidden="false" customHeight="false" outlineLevel="0" collapsed="false">
      <c r="A284" s="45" t="n">
        <f aca="false">A283+1</f>
        <v>178</v>
      </c>
      <c r="B284" s="46" t="str">
        <f aca="false">IF(WEEKDAY(C284,2)=1,"Mo",IF(WEEKDAY(C284,2)=2,"Di",IF(WEEKDAY(C284,2)=3,"Mi",IF(WEEKDAY(C284,2)=4,"Do.",IF(WEEKDAY(C284,2)=5,"Fr.",IF(WEEKDAY(C284,2)=6,"Sa.","So"))))))</f>
        <v>Do.</v>
      </c>
      <c r="C284" s="47" t="n">
        <f aca="false">C283+1</f>
        <v>46261</v>
      </c>
      <c r="D284" s="48"/>
      <c r="E284" s="49"/>
      <c r="F284" s="76" t="s">
        <v>92</v>
      </c>
      <c r="G284" s="51"/>
      <c r="H284" s="52"/>
      <c r="I284" s="43"/>
      <c r="J284" s="43"/>
      <c r="K284" s="43"/>
      <c r="L284" s="43"/>
    </row>
    <row r="285" customFormat="false" ht="13.8" hidden="false" customHeight="false" outlineLevel="0" collapsed="false">
      <c r="A285" s="45" t="n">
        <f aca="false">A284+1</f>
        <v>179</v>
      </c>
      <c r="B285" s="46" t="str">
        <f aca="false">IF(WEEKDAY(C285,2)=1,"Mo",IF(WEEKDAY(C285,2)=2,"Di",IF(WEEKDAY(C285,2)=3,"Mi",IF(WEEKDAY(C285,2)=4,"Do.",IF(WEEKDAY(C285,2)=5,"Fr.",IF(WEEKDAY(C285,2)=6,"Sa.","So"))))))</f>
        <v>Fr.</v>
      </c>
      <c r="C285" s="47" t="n">
        <f aca="false">C284+1</f>
        <v>46262</v>
      </c>
      <c r="D285" s="48"/>
      <c r="E285" s="49"/>
      <c r="F285" s="76" t="s">
        <v>92</v>
      </c>
      <c r="G285" s="51"/>
      <c r="H285" s="52"/>
      <c r="I285" s="43"/>
      <c r="J285" s="43"/>
      <c r="K285" s="43"/>
      <c r="L285" s="43"/>
    </row>
    <row r="286" customFormat="false" ht="13.8" hidden="false" customHeight="false" outlineLevel="0" collapsed="false">
      <c r="A286" s="45" t="n">
        <f aca="false">A285+1</f>
        <v>180</v>
      </c>
      <c r="B286" s="46" t="str">
        <f aca="false">IF(WEEKDAY(C286,2)=1,"Mo",IF(WEEKDAY(C286,2)=2,"Di",IF(WEEKDAY(C286,2)=3,"Mi",IF(WEEKDAY(C286,2)=4,"Do.",IF(WEEKDAY(C286,2)=5,"Fr.",IF(WEEKDAY(C286,2)=6,"Sa.","So"))))))</f>
        <v>Sa.</v>
      </c>
      <c r="C286" s="47" t="n">
        <f aca="false">C285+1</f>
        <v>46263</v>
      </c>
      <c r="D286" s="48"/>
      <c r="E286" s="49"/>
      <c r="F286" s="76" t="s">
        <v>92</v>
      </c>
      <c r="G286" s="51"/>
      <c r="H286" s="52"/>
      <c r="I286" s="43"/>
      <c r="J286" s="43"/>
      <c r="K286" s="43"/>
      <c r="L286" s="43"/>
    </row>
    <row r="287" customFormat="false" ht="13.8" hidden="false" customHeight="false" outlineLevel="0" collapsed="false">
      <c r="A287" s="45" t="n">
        <f aca="false">A286+1</f>
        <v>181</v>
      </c>
      <c r="B287" s="46" t="str">
        <f aca="false">IF(WEEKDAY(C287,2)=1,"Mo",IF(WEEKDAY(C287,2)=2,"Di",IF(WEEKDAY(C287,2)=3,"Mi",IF(WEEKDAY(C287,2)=4,"Do.",IF(WEEKDAY(C287,2)=5,"Fr.",IF(WEEKDAY(C287,2)=6,"Sa.","So"))))))</f>
        <v>So</v>
      </c>
      <c r="C287" s="47" t="n">
        <f aca="false">C286+1</f>
        <v>46264</v>
      </c>
      <c r="D287" s="48"/>
      <c r="E287" s="49"/>
      <c r="F287" s="76" t="s">
        <v>92</v>
      </c>
      <c r="G287" s="51"/>
      <c r="H287" s="52"/>
      <c r="I287" s="43"/>
      <c r="J287" s="43"/>
      <c r="K287" s="43"/>
      <c r="L287" s="43"/>
    </row>
    <row r="288" customFormat="false" ht="13.8" hidden="false" customHeight="false" outlineLevel="0" collapsed="false">
      <c r="A288" s="45" t="n">
        <f aca="false">A287+1</f>
        <v>182</v>
      </c>
      <c r="B288" s="46" t="str">
        <f aca="false">IF(WEEKDAY(C288,2)=1,"Mo",IF(WEEKDAY(C288,2)=2,"Di",IF(WEEKDAY(C288,2)=3,"Mi",IF(WEEKDAY(C288,2)=4,"Do.",IF(WEEKDAY(C288,2)=5,"Fr.",IF(WEEKDAY(C288,2)=6,"Sa.","So"))))))</f>
        <v>Mo</v>
      </c>
      <c r="C288" s="47" t="n">
        <f aca="false">C287+1</f>
        <v>46265</v>
      </c>
      <c r="D288" s="48"/>
      <c r="E288" s="49"/>
      <c r="F288" s="76" t="s">
        <v>92</v>
      </c>
      <c r="G288" s="51"/>
      <c r="H288" s="52"/>
      <c r="I288" s="43"/>
      <c r="J288" s="43"/>
      <c r="K288" s="43"/>
      <c r="L288" s="43"/>
    </row>
    <row r="289" customFormat="false" ht="13.8" hidden="false" customHeight="false" outlineLevel="0" collapsed="false">
      <c r="A289" s="45" t="n">
        <f aca="false">A288+1</f>
        <v>183</v>
      </c>
      <c r="B289" s="46" t="str">
        <f aca="false">IF(WEEKDAY(C289,2)=1,"Mo",IF(WEEKDAY(C289,2)=2,"Di",IF(WEEKDAY(C289,2)=3,"Mi",IF(WEEKDAY(C289,2)=4,"Do.",IF(WEEKDAY(C289,2)=5,"Fr.",IF(WEEKDAY(C289,2)=6,"Sa.","So"))))))</f>
        <v>Di</v>
      </c>
      <c r="C289" s="47" t="n">
        <f aca="false">C288+1</f>
        <v>46266</v>
      </c>
      <c r="D289" s="48"/>
      <c r="E289" s="49"/>
      <c r="F289" s="76" t="s">
        <v>92</v>
      </c>
      <c r="G289" s="51"/>
      <c r="H289" s="52"/>
      <c r="I289" s="43"/>
      <c r="J289" s="43"/>
      <c r="K289" s="43"/>
      <c r="L289" s="43"/>
    </row>
    <row r="290" customFormat="false" ht="13.8" hidden="false" customHeight="false" outlineLevel="0" collapsed="false">
      <c r="A290" s="45" t="n">
        <f aca="false">A289+1</f>
        <v>184</v>
      </c>
      <c r="B290" s="46" t="str">
        <f aca="false">IF(WEEKDAY(C290,2)=1,"Mo",IF(WEEKDAY(C290,2)=2,"Di",IF(WEEKDAY(C290,2)=3,"Mi",IF(WEEKDAY(C290,2)=4,"Do.",IF(WEEKDAY(C290,2)=5,"Fr.",IF(WEEKDAY(C290,2)=6,"Sa.","So"))))))</f>
        <v>Mi</v>
      </c>
      <c r="C290" s="47" t="n">
        <f aca="false">C289+1</f>
        <v>46267</v>
      </c>
      <c r="D290" s="48"/>
      <c r="E290" s="49"/>
      <c r="F290" s="76" t="s">
        <v>92</v>
      </c>
      <c r="G290" s="51"/>
      <c r="H290" s="52"/>
      <c r="I290" s="43"/>
      <c r="J290" s="43"/>
      <c r="K290" s="43"/>
      <c r="L290" s="43"/>
    </row>
    <row r="291" customFormat="false" ht="13.8" hidden="false" customHeight="false" outlineLevel="0" collapsed="false">
      <c r="A291" s="45" t="n">
        <f aca="false">A290+1</f>
        <v>185</v>
      </c>
      <c r="B291" s="46" t="str">
        <f aca="false">IF(WEEKDAY(C291,2)=1,"Mo",IF(WEEKDAY(C291,2)=2,"Di",IF(WEEKDAY(C291,2)=3,"Mi",IF(WEEKDAY(C291,2)=4,"Do.",IF(WEEKDAY(C291,2)=5,"Fr.",IF(WEEKDAY(C291,2)=6,"Sa.","So"))))))</f>
        <v>Do.</v>
      </c>
      <c r="C291" s="47" t="n">
        <f aca="false">C290+1</f>
        <v>46268</v>
      </c>
      <c r="D291" s="48"/>
      <c r="E291" s="49"/>
      <c r="F291" s="76" t="s">
        <v>92</v>
      </c>
      <c r="G291" s="51"/>
      <c r="H291" s="52"/>
      <c r="I291" s="43"/>
      <c r="J291" s="43"/>
      <c r="K291" s="43"/>
      <c r="L291" s="43"/>
    </row>
    <row r="292" customFormat="false" ht="13.8" hidden="false" customHeight="false" outlineLevel="0" collapsed="false">
      <c r="A292" s="45" t="n">
        <f aca="false">A291+1</f>
        <v>186</v>
      </c>
      <c r="B292" s="46" t="str">
        <f aca="false">IF(WEEKDAY(C292,2)=1,"Mo",IF(WEEKDAY(C292,2)=2,"Di",IF(WEEKDAY(C292,2)=3,"Mi",IF(WEEKDAY(C292,2)=4,"Do.",IF(WEEKDAY(C292,2)=5,"Fr.",IF(WEEKDAY(C292,2)=6,"Sa.","So"))))))</f>
        <v>Fr.</v>
      </c>
      <c r="C292" s="47" t="n">
        <f aca="false">C291+1</f>
        <v>46269</v>
      </c>
      <c r="D292" s="48"/>
      <c r="E292" s="49"/>
      <c r="F292" s="76" t="s">
        <v>92</v>
      </c>
      <c r="G292" s="51"/>
      <c r="H292" s="52"/>
      <c r="I292" s="43"/>
      <c r="J292" s="43"/>
      <c r="K292" s="43"/>
      <c r="L292" s="43"/>
    </row>
    <row r="293" customFormat="false" ht="13.8" hidden="false" customHeight="false" outlineLevel="0" collapsed="false">
      <c r="A293" s="45" t="n">
        <f aca="false">A292+1</f>
        <v>187</v>
      </c>
      <c r="B293" s="46" t="str">
        <f aca="false">IF(WEEKDAY(C293,2)=1,"Mo",IF(WEEKDAY(C293,2)=2,"Di",IF(WEEKDAY(C293,2)=3,"Mi",IF(WEEKDAY(C293,2)=4,"Do.",IF(WEEKDAY(C293,2)=5,"Fr.",IF(WEEKDAY(C293,2)=6,"Sa.","So"))))))</f>
        <v>Sa.</v>
      </c>
      <c r="C293" s="47" t="n">
        <f aca="false">C292+1</f>
        <v>46270</v>
      </c>
      <c r="D293" s="48"/>
      <c r="E293" s="49"/>
      <c r="F293" s="76" t="s">
        <v>92</v>
      </c>
      <c r="G293" s="51"/>
      <c r="H293" s="52"/>
      <c r="I293" s="43"/>
      <c r="J293" s="43"/>
      <c r="K293" s="43"/>
      <c r="L293" s="43"/>
    </row>
    <row r="294" customFormat="false" ht="13.8" hidden="false" customHeight="false" outlineLevel="0" collapsed="false">
      <c r="A294" s="45" t="n">
        <f aca="false">A293+1</f>
        <v>188</v>
      </c>
      <c r="B294" s="46" t="str">
        <f aca="false">IF(WEEKDAY(C294,2)=1,"Mo",IF(WEEKDAY(C294,2)=2,"Di",IF(WEEKDAY(C294,2)=3,"Mi",IF(WEEKDAY(C294,2)=4,"Do.",IF(WEEKDAY(C294,2)=5,"Fr.",IF(WEEKDAY(C294,2)=6,"Sa.","So"))))))</f>
        <v>So</v>
      </c>
      <c r="C294" s="47" t="n">
        <f aca="false">C293+1</f>
        <v>46271</v>
      </c>
      <c r="D294" s="48"/>
      <c r="E294" s="49"/>
      <c r="F294" s="76" t="s">
        <v>92</v>
      </c>
      <c r="G294" s="51"/>
      <c r="H294" s="52"/>
      <c r="I294" s="43"/>
      <c r="J294" s="43"/>
      <c r="K294" s="43"/>
      <c r="L294" s="43"/>
    </row>
    <row r="295" customFormat="false" ht="13.8" hidden="false" customHeight="false" outlineLevel="0" collapsed="false">
      <c r="A295" s="45" t="n">
        <f aca="false">A294+1</f>
        <v>189</v>
      </c>
      <c r="B295" s="46" t="str">
        <f aca="false">IF(WEEKDAY(C295,2)=1,"Mo",IF(WEEKDAY(C295,2)=2,"Di",IF(WEEKDAY(C295,2)=3,"Mi",IF(WEEKDAY(C295,2)=4,"Do.",IF(WEEKDAY(C295,2)=5,"Fr.",IF(WEEKDAY(C295,2)=6,"Sa.","So"))))))</f>
        <v>Mo</v>
      </c>
      <c r="C295" s="47" t="n">
        <f aca="false">C294+1</f>
        <v>46272</v>
      </c>
      <c r="D295" s="48"/>
      <c r="E295" s="49"/>
      <c r="F295" s="76" t="s">
        <v>92</v>
      </c>
      <c r="G295" s="51"/>
      <c r="H295" s="52"/>
      <c r="I295" s="43"/>
      <c r="J295" s="43"/>
      <c r="K295" s="43"/>
      <c r="L295" s="43"/>
    </row>
    <row r="296" customFormat="false" ht="13.8" hidden="false" customHeight="false" outlineLevel="0" collapsed="false">
      <c r="A296" s="45" t="n">
        <f aca="false">A295+1</f>
        <v>190</v>
      </c>
      <c r="B296" s="46" t="str">
        <f aca="false">IF(WEEKDAY(C296,2)=1,"Mo",IF(WEEKDAY(C296,2)=2,"Di",IF(WEEKDAY(C296,2)=3,"Mi",IF(WEEKDAY(C296,2)=4,"Do.",IF(WEEKDAY(C296,2)=5,"Fr.",IF(WEEKDAY(C296,2)=6,"Sa.","So"))))))</f>
        <v>Di</v>
      </c>
      <c r="C296" s="47" t="n">
        <f aca="false">C295+1</f>
        <v>46273</v>
      </c>
      <c r="D296" s="48"/>
      <c r="E296" s="49"/>
      <c r="F296" s="76" t="s">
        <v>92</v>
      </c>
      <c r="G296" s="51"/>
      <c r="H296" s="52"/>
      <c r="I296" s="43"/>
      <c r="J296" s="43"/>
      <c r="K296" s="43"/>
      <c r="L296" s="43"/>
    </row>
    <row r="297" customFormat="false" ht="13.8" hidden="false" customHeight="false" outlineLevel="0" collapsed="false">
      <c r="A297" s="45" t="n">
        <f aca="false">A296+1</f>
        <v>191</v>
      </c>
      <c r="B297" s="46" t="str">
        <f aca="false">IF(WEEKDAY(C297,2)=1,"Mo",IF(WEEKDAY(C297,2)=2,"Di",IF(WEEKDAY(C297,2)=3,"Mi",IF(WEEKDAY(C297,2)=4,"Do.",IF(WEEKDAY(C297,2)=5,"Fr.",IF(WEEKDAY(C297,2)=6,"Sa.","So"))))))</f>
        <v>Mi</v>
      </c>
      <c r="C297" s="47" t="n">
        <f aca="false">C296+1</f>
        <v>46274</v>
      </c>
      <c r="D297" s="48"/>
      <c r="E297" s="49"/>
      <c r="F297" s="76" t="s">
        <v>92</v>
      </c>
      <c r="G297" s="51"/>
      <c r="H297" s="52"/>
      <c r="I297" s="43"/>
      <c r="J297" s="43"/>
      <c r="K297" s="43"/>
      <c r="L297" s="43"/>
    </row>
    <row r="298" customFormat="false" ht="13.8" hidden="false" customHeight="false" outlineLevel="0" collapsed="false">
      <c r="A298" s="45" t="n">
        <f aca="false">A297+1</f>
        <v>192</v>
      </c>
      <c r="B298" s="46" t="str">
        <f aca="false">IF(WEEKDAY(C298,2)=1,"Mo",IF(WEEKDAY(C298,2)=2,"Di",IF(WEEKDAY(C298,2)=3,"Mi",IF(WEEKDAY(C298,2)=4,"Do.",IF(WEEKDAY(C298,2)=5,"Fr.",IF(WEEKDAY(C298,2)=6,"Sa.","So"))))))</f>
        <v>Do.</v>
      </c>
      <c r="C298" s="47" t="n">
        <f aca="false">C297+1</f>
        <v>46275</v>
      </c>
      <c r="D298" s="48"/>
      <c r="E298" s="49"/>
      <c r="F298" s="76" t="s">
        <v>92</v>
      </c>
      <c r="G298" s="51"/>
      <c r="H298" s="52"/>
      <c r="I298" s="43"/>
      <c r="J298" s="43"/>
      <c r="K298" s="43"/>
      <c r="L298" s="43"/>
    </row>
    <row r="299" customFormat="false" ht="13.8" hidden="false" customHeight="false" outlineLevel="0" collapsed="false">
      <c r="A299" s="45" t="n">
        <f aca="false">A298+1</f>
        <v>193</v>
      </c>
      <c r="B299" s="46" t="str">
        <f aca="false">IF(WEEKDAY(C299,2)=1,"Mo",IF(WEEKDAY(C299,2)=2,"Di",IF(WEEKDAY(C299,2)=3,"Mi",IF(WEEKDAY(C299,2)=4,"Do.",IF(WEEKDAY(C299,2)=5,"Fr.",IF(WEEKDAY(C299,2)=6,"Sa.","So"))))))</f>
        <v>Fr.</v>
      </c>
      <c r="C299" s="47" t="n">
        <f aca="false">C298+1</f>
        <v>46276</v>
      </c>
      <c r="D299" s="48"/>
      <c r="E299" s="49"/>
      <c r="F299" s="76" t="s">
        <v>92</v>
      </c>
      <c r="G299" s="51"/>
      <c r="H299" s="52"/>
      <c r="I299" s="43"/>
      <c r="J299" s="43"/>
      <c r="K299" s="43"/>
      <c r="L299" s="43"/>
    </row>
    <row r="300" customFormat="false" ht="13.8" hidden="false" customHeight="false" outlineLevel="0" collapsed="false">
      <c r="A300" s="45" t="n">
        <f aca="false">A299+1</f>
        <v>194</v>
      </c>
      <c r="B300" s="46" t="str">
        <f aca="false">IF(WEEKDAY(C300,2)=1,"Mo",IF(WEEKDAY(C300,2)=2,"Di",IF(WEEKDAY(C300,2)=3,"Mi",IF(WEEKDAY(C300,2)=4,"Do.",IF(WEEKDAY(C300,2)=5,"Fr.",IF(WEEKDAY(C300,2)=6,"Sa.","So"))))))</f>
        <v>Sa.</v>
      </c>
      <c r="C300" s="47" t="n">
        <f aca="false">C299+1</f>
        <v>46277</v>
      </c>
      <c r="D300" s="48"/>
      <c r="E300" s="49"/>
      <c r="F300" s="76" t="s">
        <v>92</v>
      </c>
      <c r="G300" s="51"/>
      <c r="H300" s="52"/>
      <c r="I300" s="43"/>
      <c r="J300" s="43"/>
      <c r="K300" s="43"/>
      <c r="L300" s="43"/>
    </row>
    <row r="301" customFormat="false" ht="14.25" hidden="false" customHeight="true" outlineLevel="0" collapsed="false">
      <c r="A301" s="55" t="n">
        <f aca="false">A300+1</f>
        <v>195</v>
      </c>
      <c r="B301" s="56" t="str">
        <f aca="false">IF(WEEKDAY(C301,2)=1,"Mo",IF(WEEKDAY(C301,2)=2,"Di",IF(WEEKDAY(C301,2)=3,"Mi",IF(WEEKDAY(C301,2)=4,"Do.",IF(WEEKDAY(C301,2)=5,"Fr.",IF(WEEKDAY(C301,2)=6,"Sa.","So"))))))</f>
        <v>So</v>
      </c>
      <c r="C301" s="57" t="n">
        <f aca="false">C300+1</f>
        <v>46278</v>
      </c>
      <c r="D301" s="58"/>
      <c r="E301" s="59"/>
      <c r="F301" s="77" t="s">
        <v>92</v>
      </c>
      <c r="G301" s="61"/>
      <c r="H301" s="62"/>
      <c r="I301" s="43"/>
      <c r="J301" s="43"/>
      <c r="K301" s="43"/>
      <c r="L301" s="43"/>
      <c r="N301" s="63"/>
      <c r="O301" s="64" t="s">
        <v>212</v>
      </c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</row>
    <row r="302" customFormat="false" ht="13.5" hidden="false" customHeight="false" outlineLevel="0" collapsed="false">
      <c r="A302" s="44"/>
      <c r="B302" s="44"/>
      <c r="C302" s="44"/>
      <c r="D302" s="44"/>
      <c r="E302" s="44"/>
      <c r="F302" s="2"/>
      <c r="G302" s="2"/>
      <c r="H302" s="44"/>
      <c r="I302" s="44"/>
      <c r="J302" s="44"/>
      <c r="K302" s="44"/>
      <c r="L302" s="44"/>
      <c r="N302" s="65"/>
      <c r="O302" s="1" t="s">
        <v>117</v>
      </c>
    </row>
    <row r="303" customFormat="false" ht="13.5" hidden="false" customHeight="false" outlineLevel="0" collapsed="false">
      <c r="A303" s="66" t="str">
        <f aca="false">Student_Name</f>
        <v>Hassine</v>
      </c>
      <c r="B303" s="66"/>
      <c r="C303" s="66"/>
      <c r="D303" s="66"/>
      <c r="E303" s="66"/>
      <c r="F303" s="66"/>
      <c r="G303" s="10"/>
      <c r="H303" s="66" t="str">
        <f aca="false">Ausbildungsbetrieb_Unternehmen</f>
        <v>Mechanische Werkstätte Schmidt e.K.</v>
      </c>
      <c r="I303" s="67"/>
      <c r="J303" s="67"/>
      <c r="K303" s="67"/>
      <c r="L303" s="67"/>
    </row>
    <row r="304" customFormat="false" ht="13.5" hidden="false" customHeight="false" outlineLevel="0" collapsed="false">
      <c r="A304" s="68" t="s">
        <v>31</v>
      </c>
      <c r="B304" s="68"/>
      <c r="C304" s="68"/>
      <c r="D304" s="68"/>
      <c r="E304" s="68"/>
      <c r="F304" s="9"/>
      <c r="G304" s="9"/>
      <c r="H304" s="68" t="s">
        <v>32</v>
      </c>
      <c r="I304" s="68"/>
      <c r="J304" s="68"/>
      <c r="K304" s="68"/>
      <c r="L304" s="68"/>
    </row>
    <row r="305" customFormat="false" ht="13.5" hidden="false" customHeight="false" outlineLevel="0" collapsed="false">
      <c r="A305" s="67"/>
      <c r="B305" s="67"/>
      <c r="C305" s="67"/>
      <c r="D305" s="67"/>
      <c r="E305" s="67"/>
      <c r="F305" s="10"/>
      <c r="G305" s="10"/>
      <c r="H305" s="67"/>
      <c r="I305" s="67"/>
      <c r="J305" s="67"/>
      <c r="K305" s="67"/>
      <c r="L305" s="67"/>
    </row>
    <row r="306" customFormat="false" ht="13.5" hidden="false" customHeight="false" outlineLevel="0" collapsed="false">
      <c r="A306" s="66" t="str">
        <f aca="false">Student_Vorname</f>
        <v>Houcine</v>
      </c>
      <c r="B306" s="66"/>
      <c r="C306" s="66"/>
      <c r="D306" s="66"/>
      <c r="E306" s="66"/>
      <c r="F306" s="66"/>
      <c r="G306" s="10"/>
      <c r="H306" s="66" t="str">
        <f aca="false">CONCATENATE(Ausbildungsbetrieb_Vorname, " ", Ausbildungsbetrieb_Name)</f>
        <v>Amine Halloul</v>
      </c>
      <c r="I306" s="67"/>
      <c r="J306" s="67"/>
      <c r="K306" s="67"/>
      <c r="L306" s="67"/>
    </row>
    <row r="307" customFormat="false" ht="13.5" hidden="false" customHeight="false" outlineLevel="0" collapsed="false">
      <c r="A307" s="68" t="s">
        <v>34</v>
      </c>
      <c r="B307" s="68"/>
      <c r="C307" s="68"/>
      <c r="D307" s="68"/>
      <c r="E307" s="68"/>
      <c r="F307" s="9"/>
      <c r="G307" s="9"/>
      <c r="H307" s="68" t="s">
        <v>82</v>
      </c>
      <c r="I307" s="68"/>
      <c r="J307" s="68"/>
      <c r="K307" s="68"/>
      <c r="L307" s="68"/>
    </row>
    <row r="308" customFormat="false" ht="13.5" hidden="false" customHeight="false" outlineLevel="0" collapsed="false">
      <c r="A308" s="67"/>
      <c r="B308" s="67"/>
      <c r="C308" s="67"/>
      <c r="D308" s="67"/>
      <c r="E308" s="67"/>
      <c r="F308" s="10"/>
      <c r="G308" s="10"/>
      <c r="H308" s="67"/>
      <c r="I308" s="67"/>
      <c r="J308" s="67"/>
      <c r="K308" s="67"/>
      <c r="L308" s="67"/>
    </row>
    <row r="309" customFormat="false" ht="13.5" hidden="false" customHeight="false" outlineLevel="0" collapsed="false">
      <c r="A309" s="66" t="str">
        <f aca="false">Student_Studiengruppe</f>
        <v>PA6</v>
      </c>
      <c r="B309" s="66"/>
      <c r="C309" s="66"/>
      <c r="D309" s="66"/>
      <c r="E309" s="66"/>
      <c r="F309" s="66"/>
      <c r="G309" s="10"/>
      <c r="H309" s="66" t="str">
        <f aca="false">Ausbildungsbetrieb_Email</f>
        <v>⟨E-Mail Betreuer⟩</v>
      </c>
      <c r="I309" s="67"/>
      <c r="J309" s="67"/>
      <c r="K309" s="67"/>
      <c r="L309" s="67"/>
    </row>
    <row r="310" customFormat="false" ht="13.5" hidden="false" customHeight="false" outlineLevel="0" collapsed="false">
      <c r="A310" s="68" t="s">
        <v>38</v>
      </c>
      <c r="B310" s="68"/>
      <c r="C310" s="68"/>
      <c r="D310" s="68"/>
      <c r="E310" s="68"/>
      <c r="F310" s="9"/>
      <c r="G310" s="9"/>
      <c r="H310" s="68" t="s">
        <v>83</v>
      </c>
      <c r="I310" s="68"/>
      <c r="J310" s="68"/>
      <c r="K310" s="68"/>
      <c r="L310" s="68"/>
    </row>
    <row r="311" customFormat="false" ht="13.5" hidden="false" customHeight="false" outlineLevel="0" collapsed="false">
      <c r="A311" s="67"/>
      <c r="B311" s="67"/>
      <c r="C311" s="67"/>
      <c r="D311" s="67"/>
      <c r="E311" s="67"/>
      <c r="F311" s="10"/>
      <c r="G311" s="10"/>
      <c r="H311" s="67"/>
      <c r="I311" s="67"/>
      <c r="J311" s="67"/>
      <c r="K311" s="67"/>
      <c r="L311" s="67"/>
    </row>
    <row r="312" customFormat="false" ht="13.5" hidden="false" customHeight="false" outlineLevel="0" collapsed="false">
      <c r="A312" s="66" t="str">
        <f aca="false">Student_Matrikelnummer</f>
        <v>3399727</v>
      </c>
      <c r="B312" s="66"/>
      <c r="C312" s="66"/>
      <c r="D312" s="66"/>
      <c r="E312" s="66"/>
      <c r="F312" s="66"/>
      <c r="G312" s="10"/>
      <c r="H312" s="66" t="str">
        <f aca="false">Ausbildungsbetrieb_Telefon</f>
        <v>⟨Telefon Betreuer⟩</v>
      </c>
      <c r="I312" s="67"/>
      <c r="J312" s="67"/>
      <c r="K312" s="67"/>
      <c r="L312" s="67"/>
    </row>
    <row r="313" customFormat="false" ht="13.5" hidden="false" customHeight="false" outlineLevel="0" collapsed="false">
      <c r="A313" s="68" t="s">
        <v>42</v>
      </c>
      <c r="B313" s="68"/>
      <c r="C313" s="68"/>
      <c r="D313" s="68"/>
      <c r="E313" s="68"/>
      <c r="F313" s="9"/>
      <c r="G313" s="9"/>
      <c r="H313" s="68" t="s">
        <v>84</v>
      </c>
      <c r="I313" s="68"/>
      <c r="J313" s="68"/>
      <c r="K313" s="68"/>
      <c r="L313" s="68"/>
    </row>
    <row r="314" customFormat="false" ht="14.25" hidden="false" customHeight="true" outlineLevel="0" collapsed="false">
      <c r="A314" s="67"/>
      <c r="B314" s="67"/>
      <c r="C314" s="67"/>
      <c r="D314" s="67"/>
      <c r="E314" s="67"/>
      <c r="F314" s="10"/>
      <c r="G314" s="10"/>
      <c r="H314" s="67"/>
      <c r="I314" s="67"/>
      <c r="J314" s="67"/>
      <c r="K314" s="67"/>
      <c r="L314" s="67"/>
    </row>
    <row r="315" customFormat="false" ht="13.5" hidden="false" customHeight="false" outlineLevel="0" collapsed="false">
      <c r="A315" s="69"/>
      <c r="B315" s="70"/>
      <c r="C315" s="70"/>
      <c r="D315" s="70"/>
      <c r="E315" s="70" t="s">
        <v>85</v>
      </c>
      <c r="F315" s="28"/>
      <c r="G315" s="28"/>
      <c r="H315" s="71" t="s">
        <v>86</v>
      </c>
      <c r="I315" s="44"/>
      <c r="J315" s="44"/>
      <c r="K315" s="44"/>
      <c r="L315" s="44"/>
    </row>
    <row r="316" customFormat="false" ht="14.25" hidden="false" customHeight="true" outlineLevel="0" collapsed="false">
      <c r="A316" s="72" t="s">
        <v>87</v>
      </c>
      <c r="B316" s="72"/>
      <c r="C316" s="73" t="s">
        <v>88</v>
      </c>
      <c r="D316" s="73"/>
      <c r="E316" s="74" t="s">
        <v>89</v>
      </c>
      <c r="F316" s="74"/>
      <c r="G316" s="33"/>
      <c r="H316" s="75" t="s">
        <v>90</v>
      </c>
      <c r="I316" s="44"/>
      <c r="J316" s="44"/>
      <c r="K316" s="44"/>
      <c r="L316" s="44"/>
    </row>
    <row r="317" customFormat="false" ht="13.8" hidden="false" customHeight="false" outlineLevel="0" collapsed="false">
      <c r="A317" s="35" t="n">
        <f aca="false">A301+1</f>
        <v>196</v>
      </c>
      <c r="B317" s="36" t="str">
        <f aca="false">IF(WEEKDAY(C317,2)=1,"Mo",IF(WEEKDAY(C317,2)=2,"Di",IF(WEEKDAY(C317,2)=3,"Mi",IF(WEEKDAY(C317,2)=4,"Do.",IF(WEEKDAY(C317,2)=5,"Fr.",IF(WEEKDAY(C317,2)=6,"Sa.","So"))))))</f>
        <v>Mo</v>
      </c>
      <c r="C317" s="37" t="n">
        <f aca="false">C301+1</f>
        <v>46279</v>
      </c>
      <c r="D317" s="38"/>
      <c r="E317" s="39"/>
      <c r="F317" s="78" t="s">
        <v>92</v>
      </c>
      <c r="G317" s="41"/>
      <c r="H317" s="42"/>
      <c r="I317" s="43"/>
      <c r="J317" s="43"/>
      <c r="K317" s="43"/>
      <c r="L317" s="43"/>
    </row>
    <row r="318" customFormat="false" ht="13.8" hidden="false" customHeight="false" outlineLevel="0" collapsed="false">
      <c r="A318" s="45" t="n">
        <f aca="false">A317+1</f>
        <v>197</v>
      </c>
      <c r="B318" s="46" t="str">
        <f aca="false">IF(WEEKDAY(C318,2)=1,"Mo",IF(WEEKDAY(C318,2)=2,"Di",IF(WEEKDAY(C318,2)=3,"Mi",IF(WEEKDAY(C318,2)=4,"Do.",IF(WEEKDAY(C318,2)=5,"Fr.",IF(WEEKDAY(C318,2)=6,"Sa.","So"))))))</f>
        <v>Di</v>
      </c>
      <c r="C318" s="47" t="n">
        <f aca="false">C317+1</f>
        <v>46280</v>
      </c>
      <c r="D318" s="48"/>
      <c r="E318" s="49"/>
      <c r="F318" s="76" t="s">
        <v>92</v>
      </c>
      <c r="G318" s="51"/>
      <c r="H318" s="52"/>
      <c r="I318" s="43"/>
      <c r="J318" s="43"/>
      <c r="K318" s="43"/>
      <c r="L318" s="43"/>
    </row>
    <row r="319" customFormat="false" ht="13.8" hidden="false" customHeight="false" outlineLevel="0" collapsed="false">
      <c r="A319" s="45" t="n">
        <f aca="false">A318+1</f>
        <v>198</v>
      </c>
      <c r="B319" s="46" t="str">
        <f aca="false">IF(WEEKDAY(C319,2)=1,"Mo",IF(WEEKDAY(C319,2)=2,"Di",IF(WEEKDAY(C319,2)=3,"Mi",IF(WEEKDAY(C319,2)=4,"Do.",IF(WEEKDAY(C319,2)=5,"Fr.",IF(WEEKDAY(C319,2)=6,"Sa.","So"))))))</f>
        <v>Mi</v>
      </c>
      <c r="C319" s="47" t="n">
        <f aca="false">C318+1</f>
        <v>46281</v>
      </c>
      <c r="D319" s="48"/>
      <c r="E319" s="49"/>
      <c r="F319" s="76" t="s">
        <v>92</v>
      </c>
      <c r="G319" s="51"/>
      <c r="H319" s="52"/>
      <c r="I319" s="43"/>
      <c r="J319" s="43"/>
      <c r="K319" s="43"/>
      <c r="L319" s="43"/>
    </row>
    <row r="320" customFormat="false" ht="13.8" hidden="false" customHeight="false" outlineLevel="0" collapsed="false">
      <c r="A320" s="45" t="n">
        <f aca="false">A319+1</f>
        <v>199</v>
      </c>
      <c r="B320" s="46" t="str">
        <f aca="false">IF(WEEKDAY(C320,2)=1,"Mo",IF(WEEKDAY(C320,2)=2,"Di",IF(WEEKDAY(C320,2)=3,"Mi",IF(WEEKDAY(C320,2)=4,"Do.",IF(WEEKDAY(C320,2)=5,"Fr.",IF(WEEKDAY(C320,2)=6,"Sa.","So"))))))</f>
        <v>Do.</v>
      </c>
      <c r="C320" s="47" t="n">
        <f aca="false">C319+1</f>
        <v>46282</v>
      </c>
      <c r="D320" s="48"/>
      <c r="E320" s="49"/>
      <c r="F320" s="76" t="s">
        <v>92</v>
      </c>
      <c r="G320" s="51"/>
      <c r="H320" s="52"/>
      <c r="I320" s="43"/>
      <c r="J320" s="43"/>
      <c r="K320" s="43"/>
      <c r="L320" s="43"/>
    </row>
    <row r="321" customFormat="false" ht="13.8" hidden="false" customHeight="false" outlineLevel="0" collapsed="false">
      <c r="A321" s="45" t="n">
        <f aca="false">A320+1</f>
        <v>200</v>
      </c>
      <c r="B321" s="46" t="str">
        <f aca="false">IF(WEEKDAY(C321,2)=1,"Mo",IF(WEEKDAY(C321,2)=2,"Di",IF(WEEKDAY(C321,2)=3,"Mi",IF(WEEKDAY(C321,2)=4,"Do.",IF(WEEKDAY(C321,2)=5,"Fr.",IF(WEEKDAY(C321,2)=6,"Sa.","So"))))))</f>
        <v>Fr.</v>
      </c>
      <c r="C321" s="47" t="n">
        <f aca="false">C320+1</f>
        <v>46283</v>
      </c>
      <c r="D321" s="48"/>
      <c r="E321" s="49"/>
      <c r="F321" s="76" t="s">
        <v>92</v>
      </c>
      <c r="G321" s="51"/>
      <c r="H321" s="52"/>
      <c r="I321" s="43"/>
      <c r="J321" s="43"/>
      <c r="K321" s="43"/>
      <c r="L321" s="43"/>
    </row>
    <row r="322" customFormat="false" ht="13.8" hidden="false" customHeight="false" outlineLevel="0" collapsed="false">
      <c r="A322" s="45" t="n">
        <f aca="false">A321+1</f>
        <v>201</v>
      </c>
      <c r="B322" s="46" t="str">
        <f aca="false">IF(WEEKDAY(C322,2)=1,"Mo",IF(WEEKDAY(C322,2)=2,"Di",IF(WEEKDAY(C322,2)=3,"Mi",IF(WEEKDAY(C322,2)=4,"Do.",IF(WEEKDAY(C322,2)=5,"Fr.",IF(WEEKDAY(C322,2)=6,"Sa.","So"))))))</f>
        <v>Sa.</v>
      </c>
      <c r="C322" s="47" t="n">
        <f aca="false">C321+1</f>
        <v>46284</v>
      </c>
      <c r="D322" s="48"/>
      <c r="E322" s="49"/>
      <c r="F322" s="76" t="s">
        <v>92</v>
      </c>
      <c r="G322" s="51"/>
      <c r="H322" s="52"/>
      <c r="I322" s="43"/>
      <c r="J322" s="43"/>
      <c r="K322" s="43"/>
      <c r="L322" s="43"/>
    </row>
    <row r="323" customFormat="false" ht="13.8" hidden="false" customHeight="false" outlineLevel="0" collapsed="false">
      <c r="A323" s="45" t="n">
        <f aca="false">A322+1</f>
        <v>202</v>
      </c>
      <c r="B323" s="46" t="str">
        <f aca="false">IF(WEEKDAY(C323,2)=1,"Mo",IF(WEEKDAY(C323,2)=2,"Di",IF(WEEKDAY(C323,2)=3,"Mi",IF(WEEKDAY(C323,2)=4,"Do.",IF(WEEKDAY(C323,2)=5,"Fr.",IF(WEEKDAY(C323,2)=6,"Sa.","So"))))))</f>
        <v>So</v>
      </c>
      <c r="C323" s="47" t="n">
        <f aca="false">C322+1</f>
        <v>46285</v>
      </c>
      <c r="D323" s="48"/>
      <c r="E323" s="49"/>
      <c r="F323" s="76" t="s">
        <v>92</v>
      </c>
      <c r="G323" s="51"/>
      <c r="H323" s="52"/>
      <c r="I323" s="43"/>
      <c r="J323" s="43"/>
      <c r="K323" s="43"/>
      <c r="L323" s="43"/>
    </row>
    <row r="324" customFormat="false" ht="13.8" hidden="false" customHeight="false" outlineLevel="0" collapsed="false">
      <c r="A324" s="45" t="n">
        <f aca="false">A323+1</f>
        <v>203</v>
      </c>
      <c r="B324" s="46" t="str">
        <f aca="false">IF(WEEKDAY(C324,2)=1,"Mo",IF(WEEKDAY(C324,2)=2,"Di",IF(WEEKDAY(C324,2)=3,"Mi",IF(WEEKDAY(C324,2)=4,"Do.",IF(WEEKDAY(C324,2)=5,"Fr.",IF(WEEKDAY(C324,2)=6,"Sa.","So"))))))</f>
        <v>Mo</v>
      </c>
      <c r="C324" s="47" t="n">
        <f aca="false">C323+1</f>
        <v>46286</v>
      </c>
      <c r="D324" s="48"/>
      <c r="E324" s="49"/>
      <c r="F324" s="76" t="s">
        <v>92</v>
      </c>
      <c r="G324" s="51"/>
      <c r="H324" s="52"/>
      <c r="I324" s="43"/>
      <c r="J324" s="43"/>
      <c r="K324" s="43"/>
      <c r="L324" s="43"/>
    </row>
    <row r="325" customFormat="false" ht="13.8" hidden="false" customHeight="false" outlineLevel="0" collapsed="false">
      <c r="A325" s="45" t="n">
        <f aca="false">A324+1</f>
        <v>204</v>
      </c>
      <c r="B325" s="46" t="str">
        <f aca="false">IF(WEEKDAY(C325,2)=1,"Mo",IF(WEEKDAY(C325,2)=2,"Di",IF(WEEKDAY(C325,2)=3,"Mi",IF(WEEKDAY(C325,2)=4,"Do.",IF(WEEKDAY(C325,2)=5,"Fr.",IF(WEEKDAY(C325,2)=6,"Sa.","So"))))))</f>
        <v>Di</v>
      </c>
      <c r="C325" s="47" t="n">
        <f aca="false">C324+1</f>
        <v>46287</v>
      </c>
      <c r="D325" s="48"/>
      <c r="E325" s="49"/>
      <c r="F325" s="76" t="s">
        <v>92</v>
      </c>
      <c r="G325" s="51"/>
      <c r="H325" s="52"/>
      <c r="I325" s="43"/>
      <c r="J325" s="43"/>
      <c r="K325" s="43"/>
      <c r="L325" s="43"/>
    </row>
    <row r="326" customFormat="false" ht="13.8" hidden="false" customHeight="false" outlineLevel="0" collapsed="false">
      <c r="A326" s="45" t="n">
        <f aca="false">A325+1</f>
        <v>205</v>
      </c>
      <c r="B326" s="46" t="str">
        <f aca="false">IF(WEEKDAY(C326,2)=1,"Mo",IF(WEEKDAY(C326,2)=2,"Di",IF(WEEKDAY(C326,2)=3,"Mi",IF(WEEKDAY(C326,2)=4,"Do.",IF(WEEKDAY(C326,2)=5,"Fr.",IF(WEEKDAY(C326,2)=6,"Sa.","So"))))))</f>
        <v>Mi</v>
      </c>
      <c r="C326" s="47" t="n">
        <f aca="false">C325+1</f>
        <v>46288</v>
      </c>
      <c r="D326" s="48"/>
      <c r="E326" s="49"/>
      <c r="F326" s="76" t="s">
        <v>92</v>
      </c>
      <c r="G326" s="51"/>
      <c r="H326" s="52"/>
      <c r="I326" s="43"/>
      <c r="J326" s="43"/>
      <c r="K326" s="43"/>
      <c r="L326" s="43"/>
    </row>
    <row r="327" customFormat="false" ht="13.8" hidden="false" customHeight="false" outlineLevel="0" collapsed="false">
      <c r="A327" s="45" t="n">
        <f aca="false">A326+1</f>
        <v>206</v>
      </c>
      <c r="B327" s="46" t="str">
        <f aca="false">IF(WEEKDAY(C327,2)=1,"Mo",IF(WEEKDAY(C327,2)=2,"Di",IF(WEEKDAY(C327,2)=3,"Mi",IF(WEEKDAY(C327,2)=4,"Do.",IF(WEEKDAY(C327,2)=5,"Fr.",IF(WEEKDAY(C327,2)=6,"Sa.","So"))))))</f>
        <v>Do.</v>
      </c>
      <c r="C327" s="47" t="n">
        <f aca="false">C326+1</f>
        <v>46289</v>
      </c>
      <c r="D327" s="48"/>
      <c r="E327" s="49"/>
      <c r="F327" s="76" t="s">
        <v>92</v>
      </c>
      <c r="G327" s="51"/>
      <c r="H327" s="52"/>
      <c r="I327" s="43"/>
      <c r="J327" s="43"/>
      <c r="K327" s="43"/>
      <c r="L327" s="43"/>
    </row>
    <row r="328" customFormat="false" ht="13.8" hidden="false" customHeight="false" outlineLevel="0" collapsed="false">
      <c r="A328" s="45" t="n">
        <f aca="false">A327+1</f>
        <v>207</v>
      </c>
      <c r="B328" s="46" t="str">
        <f aca="false">IF(WEEKDAY(C328,2)=1,"Mo",IF(WEEKDAY(C328,2)=2,"Di",IF(WEEKDAY(C328,2)=3,"Mi",IF(WEEKDAY(C328,2)=4,"Do.",IF(WEEKDAY(C328,2)=5,"Fr.",IF(WEEKDAY(C328,2)=6,"Sa.","So"))))))</f>
        <v>Fr.</v>
      </c>
      <c r="C328" s="47" t="n">
        <f aca="false">C327+1</f>
        <v>46290</v>
      </c>
      <c r="D328" s="48"/>
      <c r="E328" s="49"/>
      <c r="F328" s="76" t="s">
        <v>92</v>
      </c>
      <c r="G328" s="51"/>
      <c r="H328" s="52"/>
      <c r="I328" s="43"/>
      <c r="J328" s="43"/>
      <c r="K328" s="43"/>
      <c r="L328" s="43"/>
    </row>
    <row r="329" customFormat="false" ht="13.8" hidden="false" customHeight="false" outlineLevel="0" collapsed="false">
      <c r="A329" s="45" t="n">
        <f aca="false">A328+1</f>
        <v>208</v>
      </c>
      <c r="B329" s="46" t="str">
        <f aca="false">IF(WEEKDAY(C329,2)=1,"Mo",IF(WEEKDAY(C329,2)=2,"Di",IF(WEEKDAY(C329,2)=3,"Mi",IF(WEEKDAY(C329,2)=4,"Do.",IF(WEEKDAY(C329,2)=5,"Fr.",IF(WEEKDAY(C329,2)=6,"Sa.","So"))))))</f>
        <v>Sa.</v>
      </c>
      <c r="C329" s="47" t="n">
        <f aca="false">C328+1</f>
        <v>46291</v>
      </c>
      <c r="D329" s="48"/>
      <c r="E329" s="49"/>
      <c r="F329" s="76" t="s">
        <v>92</v>
      </c>
      <c r="G329" s="51"/>
      <c r="H329" s="52"/>
      <c r="I329" s="43"/>
      <c r="J329" s="43"/>
      <c r="K329" s="43"/>
      <c r="L329" s="43"/>
    </row>
    <row r="330" customFormat="false" ht="13.8" hidden="false" customHeight="false" outlineLevel="0" collapsed="false">
      <c r="A330" s="45" t="n">
        <f aca="false">A329+1</f>
        <v>209</v>
      </c>
      <c r="B330" s="46" t="str">
        <f aca="false">IF(WEEKDAY(C330,2)=1,"Mo",IF(WEEKDAY(C330,2)=2,"Di",IF(WEEKDAY(C330,2)=3,"Mi",IF(WEEKDAY(C330,2)=4,"Do.",IF(WEEKDAY(C330,2)=5,"Fr.",IF(WEEKDAY(C330,2)=6,"Sa.","So"))))))</f>
        <v>So</v>
      </c>
      <c r="C330" s="47" t="n">
        <f aca="false">C329+1</f>
        <v>46292</v>
      </c>
      <c r="D330" s="48"/>
      <c r="E330" s="49"/>
      <c r="F330" s="76" t="s">
        <v>92</v>
      </c>
      <c r="G330" s="51"/>
      <c r="H330" s="52"/>
      <c r="I330" s="43"/>
      <c r="J330" s="43"/>
      <c r="K330" s="43"/>
      <c r="L330" s="43"/>
    </row>
    <row r="331" customFormat="false" ht="13.8" hidden="false" customHeight="false" outlineLevel="0" collapsed="false">
      <c r="A331" s="45" t="n">
        <f aca="false">A330+1</f>
        <v>210</v>
      </c>
      <c r="B331" s="46" t="str">
        <f aca="false">IF(WEEKDAY(C331,2)=1,"Mo",IF(WEEKDAY(C331,2)=2,"Di",IF(WEEKDAY(C331,2)=3,"Mi",IF(WEEKDAY(C331,2)=4,"Do.",IF(WEEKDAY(C331,2)=5,"Fr.",IF(WEEKDAY(C331,2)=6,"Sa.","So"))))))</f>
        <v>Mo</v>
      </c>
      <c r="C331" s="47" t="n">
        <f aca="false">C330+1</f>
        <v>46293</v>
      </c>
      <c r="D331" s="48"/>
      <c r="E331" s="49"/>
      <c r="F331" s="76" t="s">
        <v>92</v>
      </c>
      <c r="G331" s="51"/>
      <c r="H331" s="52"/>
      <c r="I331" s="43"/>
      <c r="J331" s="43"/>
      <c r="K331" s="43"/>
      <c r="L331" s="43"/>
    </row>
    <row r="332" customFormat="false" ht="13.8" hidden="false" customHeight="false" outlineLevel="0" collapsed="false">
      <c r="A332" s="45" t="n">
        <f aca="false">A331+1</f>
        <v>211</v>
      </c>
      <c r="B332" s="46" t="str">
        <f aca="false">IF(WEEKDAY(C332,2)=1,"Mo",IF(WEEKDAY(C332,2)=2,"Di",IF(WEEKDAY(C332,2)=3,"Mi",IF(WEEKDAY(C332,2)=4,"Do.",IF(WEEKDAY(C332,2)=5,"Fr.",IF(WEEKDAY(C332,2)=6,"Sa.","So"))))))</f>
        <v>Di</v>
      </c>
      <c r="C332" s="47" t="n">
        <f aca="false">C331+1</f>
        <v>46294</v>
      </c>
      <c r="D332" s="48"/>
      <c r="E332" s="49"/>
      <c r="F332" s="76" t="s">
        <v>92</v>
      </c>
      <c r="G332" s="51"/>
      <c r="H332" s="52"/>
      <c r="I332" s="43"/>
      <c r="J332" s="43"/>
      <c r="K332" s="43"/>
      <c r="L332" s="43"/>
    </row>
    <row r="333" customFormat="false" ht="13.8" hidden="false" customHeight="false" outlineLevel="0" collapsed="false">
      <c r="A333" s="45" t="n">
        <f aca="false">A332+1</f>
        <v>212</v>
      </c>
      <c r="B333" s="46" t="str">
        <f aca="false">IF(WEEKDAY(C333,2)=1,"Mo",IF(WEEKDAY(C333,2)=2,"Di",IF(WEEKDAY(C333,2)=3,"Mi",IF(WEEKDAY(C333,2)=4,"Do.",IF(WEEKDAY(C333,2)=5,"Fr.",IF(WEEKDAY(C333,2)=6,"Sa.","So"))))))</f>
        <v>Mi</v>
      </c>
      <c r="C333" s="47" t="n">
        <f aca="false">C332+1</f>
        <v>46295</v>
      </c>
      <c r="D333" s="48"/>
      <c r="E333" s="49"/>
      <c r="F333" s="76" t="s">
        <v>92</v>
      </c>
      <c r="G333" s="51"/>
      <c r="H333" s="52"/>
      <c r="I333" s="43"/>
      <c r="J333" s="43"/>
      <c r="K333" s="43"/>
      <c r="L333" s="43"/>
    </row>
    <row r="334" customFormat="false" ht="13.8" hidden="false" customHeight="false" outlineLevel="0" collapsed="false">
      <c r="A334" s="45" t="n">
        <f aca="false">A333+1</f>
        <v>213</v>
      </c>
      <c r="B334" s="46" t="str">
        <f aca="false">IF(WEEKDAY(C334,2)=1,"Mo",IF(WEEKDAY(C334,2)=2,"Di",IF(WEEKDAY(C334,2)=3,"Mi",IF(WEEKDAY(C334,2)=4,"Do.",IF(WEEKDAY(C334,2)=5,"Fr.",IF(WEEKDAY(C334,2)=6,"Sa.","So"))))))</f>
        <v>Do.</v>
      </c>
      <c r="C334" s="47" t="n">
        <f aca="false">C333+1</f>
        <v>46296</v>
      </c>
      <c r="D334" s="48"/>
      <c r="E334" s="49"/>
      <c r="F334" s="76" t="s">
        <v>92</v>
      </c>
      <c r="G334" s="51"/>
      <c r="H334" s="52"/>
      <c r="I334" s="43"/>
      <c r="J334" s="43"/>
      <c r="K334" s="43"/>
      <c r="L334" s="43"/>
    </row>
    <row r="335" customFormat="false" ht="13.8" hidden="false" customHeight="false" outlineLevel="0" collapsed="false">
      <c r="A335" s="45" t="n">
        <f aca="false">A334+1</f>
        <v>214</v>
      </c>
      <c r="B335" s="46" t="str">
        <f aca="false">IF(WEEKDAY(C335,2)=1,"Mo",IF(WEEKDAY(C335,2)=2,"Di",IF(WEEKDAY(C335,2)=3,"Mi",IF(WEEKDAY(C335,2)=4,"Do.",IF(WEEKDAY(C335,2)=5,"Fr.",IF(WEEKDAY(C335,2)=6,"Sa.","So"))))))</f>
        <v>Fr.</v>
      </c>
      <c r="C335" s="47" t="n">
        <f aca="false">C334+1</f>
        <v>46297</v>
      </c>
      <c r="D335" s="48"/>
      <c r="E335" s="49"/>
      <c r="F335" s="76" t="s">
        <v>92</v>
      </c>
      <c r="G335" s="51"/>
      <c r="H335" s="52"/>
      <c r="I335" s="43"/>
      <c r="J335" s="43"/>
      <c r="K335" s="43"/>
      <c r="L335" s="43"/>
    </row>
    <row r="336" customFormat="false" ht="13.8" hidden="false" customHeight="false" outlineLevel="0" collapsed="false">
      <c r="A336" s="45" t="n">
        <f aca="false">A335+1</f>
        <v>215</v>
      </c>
      <c r="B336" s="46" t="str">
        <f aca="false">IF(WEEKDAY(C336,2)=1,"Mo",IF(WEEKDAY(C336,2)=2,"Di",IF(WEEKDAY(C336,2)=3,"Mi",IF(WEEKDAY(C336,2)=4,"Do.",IF(WEEKDAY(C336,2)=5,"Fr.",IF(WEEKDAY(C336,2)=6,"Sa.","So"))))))</f>
        <v>Sa.</v>
      </c>
      <c r="C336" s="47" t="n">
        <f aca="false">C335+1</f>
        <v>46298</v>
      </c>
      <c r="D336" s="48"/>
      <c r="E336" s="49"/>
      <c r="F336" s="76" t="s">
        <v>92</v>
      </c>
      <c r="G336" s="51"/>
      <c r="H336" s="52"/>
      <c r="I336" s="43"/>
      <c r="J336" s="43"/>
      <c r="K336" s="43"/>
      <c r="L336" s="43"/>
    </row>
    <row r="337" customFormat="false" ht="13.8" hidden="false" customHeight="false" outlineLevel="0" collapsed="false">
      <c r="A337" s="45" t="n">
        <f aca="false">A336+1</f>
        <v>216</v>
      </c>
      <c r="B337" s="46" t="str">
        <f aca="false">IF(WEEKDAY(C337,2)=1,"Mo",IF(WEEKDAY(C337,2)=2,"Di",IF(WEEKDAY(C337,2)=3,"Mi",IF(WEEKDAY(C337,2)=4,"Do.",IF(WEEKDAY(C337,2)=5,"Fr.",IF(WEEKDAY(C337,2)=6,"Sa.","So"))))))</f>
        <v>So</v>
      </c>
      <c r="C337" s="47" t="n">
        <f aca="false">C336+1</f>
        <v>46299</v>
      </c>
      <c r="D337" s="48"/>
      <c r="E337" s="49"/>
      <c r="F337" s="76" t="s">
        <v>92</v>
      </c>
      <c r="G337" s="51"/>
      <c r="H337" s="52"/>
      <c r="I337" s="43"/>
      <c r="J337" s="43"/>
      <c r="K337" s="43"/>
      <c r="L337" s="43"/>
    </row>
    <row r="338" customFormat="false" ht="13.8" hidden="false" customHeight="false" outlineLevel="0" collapsed="false">
      <c r="A338" s="45" t="n">
        <f aca="false">A337+1</f>
        <v>217</v>
      </c>
      <c r="B338" s="46" t="str">
        <f aca="false">IF(WEEKDAY(C338,2)=1,"Mo",IF(WEEKDAY(C338,2)=2,"Di",IF(WEEKDAY(C338,2)=3,"Mi",IF(WEEKDAY(C338,2)=4,"Do.",IF(WEEKDAY(C338,2)=5,"Fr.",IF(WEEKDAY(C338,2)=6,"Sa.","So"))))))</f>
        <v>Mo</v>
      </c>
      <c r="C338" s="47" t="n">
        <f aca="false">C337+1</f>
        <v>46300</v>
      </c>
      <c r="D338" s="48"/>
      <c r="E338" s="49"/>
      <c r="F338" s="76" t="s">
        <v>92</v>
      </c>
      <c r="G338" s="51"/>
      <c r="H338" s="52"/>
      <c r="I338" s="43"/>
      <c r="J338" s="43"/>
      <c r="K338" s="43"/>
      <c r="L338" s="43"/>
    </row>
    <row r="339" customFormat="false" ht="13.8" hidden="false" customHeight="false" outlineLevel="0" collapsed="false">
      <c r="A339" s="45" t="n">
        <f aca="false">A338+1</f>
        <v>218</v>
      </c>
      <c r="B339" s="46" t="str">
        <f aca="false">IF(WEEKDAY(C339,2)=1,"Mo",IF(WEEKDAY(C339,2)=2,"Di",IF(WEEKDAY(C339,2)=3,"Mi",IF(WEEKDAY(C339,2)=4,"Do.",IF(WEEKDAY(C339,2)=5,"Fr.",IF(WEEKDAY(C339,2)=6,"Sa.","So"))))))</f>
        <v>Di</v>
      </c>
      <c r="C339" s="47" t="n">
        <f aca="false">C338+1</f>
        <v>46301</v>
      </c>
      <c r="D339" s="48"/>
      <c r="E339" s="49"/>
      <c r="F339" s="76" t="s">
        <v>92</v>
      </c>
      <c r="G339" s="51"/>
      <c r="H339" s="52"/>
      <c r="I339" s="43"/>
      <c r="J339" s="43"/>
      <c r="K339" s="43"/>
      <c r="L339" s="43"/>
    </row>
    <row r="340" customFormat="false" ht="13.8" hidden="false" customHeight="false" outlineLevel="0" collapsed="false">
      <c r="A340" s="45" t="n">
        <f aca="false">A339+1</f>
        <v>219</v>
      </c>
      <c r="B340" s="46" t="str">
        <f aca="false">IF(WEEKDAY(C340,2)=1,"Mo",IF(WEEKDAY(C340,2)=2,"Di",IF(WEEKDAY(C340,2)=3,"Mi",IF(WEEKDAY(C340,2)=4,"Do.",IF(WEEKDAY(C340,2)=5,"Fr.",IF(WEEKDAY(C340,2)=6,"Sa.","So"))))))</f>
        <v>Mi</v>
      </c>
      <c r="C340" s="47" t="n">
        <f aca="false">C339+1</f>
        <v>46302</v>
      </c>
      <c r="D340" s="48"/>
      <c r="E340" s="49"/>
      <c r="F340" s="76" t="s">
        <v>92</v>
      </c>
      <c r="G340" s="51"/>
      <c r="H340" s="52"/>
      <c r="I340" s="43"/>
      <c r="J340" s="43"/>
      <c r="K340" s="43"/>
      <c r="L340" s="43"/>
    </row>
    <row r="341" customFormat="false" ht="13.8" hidden="false" customHeight="false" outlineLevel="0" collapsed="false">
      <c r="A341" s="45" t="n">
        <f aca="false">A340+1</f>
        <v>220</v>
      </c>
      <c r="B341" s="46" t="str">
        <f aca="false">IF(WEEKDAY(C341,2)=1,"Mo",IF(WEEKDAY(C341,2)=2,"Di",IF(WEEKDAY(C341,2)=3,"Mi",IF(WEEKDAY(C341,2)=4,"Do.",IF(WEEKDAY(C341,2)=5,"Fr.",IF(WEEKDAY(C341,2)=6,"Sa.","So"))))))</f>
        <v>Do.</v>
      </c>
      <c r="C341" s="47" t="n">
        <f aca="false">C340+1</f>
        <v>46303</v>
      </c>
      <c r="D341" s="48"/>
      <c r="E341" s="49"/>
      <c r="F341" s="76" t="s">
        <v>92</v>
      </c>
      <c r="G341" s="51"/>
      <c r="H341" s="52"/>
      <c r="I341" s="43"/>
      <c r="J341" s="43"/>
      <c r="K341" s="43"/>
      <c r="L341" s="43"/>
    </row>
    <row r="342" customFormat="false" ht="13.8" hidden="false" customHeight="false" outlineLevel="0" collapsed="false">
      <c r="A342" s="45" t="n">
        <f aca="false">A341+1</f>
        <v>221</v>
      </c>
      <c r="B342" s="46" t="str">
        <f aca="false">IF(WEEKDAY(C342,2)=1,"Mo",IF(WEEKDAY(C342,2)=2,"Di",IF(WEEKDAY(C342,2)=3,"Mi",IF(WEEKDAY(C342,2)=4,"Do.",IF(WEEKDAY(C342,2)=5,"Fr.",IF(WEEKDAY(C342,2)=6,"Sa.","So"))))))</f>
        <v>Fr.</v>
      </c>
      <c r="C342" s="47" t="n">
        <f aca="false">C341+1</f>
        <v>46304</v>
      </c>
      <c r="D342" s="48"/>
      <c r="E342" s="49"/>
      <c r="F342" s="76" t="s">
        <v>92</v>
      </c>
      <c r="G342" s="51"/>
      <c r="H342" s="52"/>
      <c r="I342" s="43"/>
      <c r="J342" s="43"/>
      <c r="K342" s="43"/>
      <c r="L342" s="43"/>
    </row>
    <row r="343" customFormat="false" ht="13.8" hidden="false" customHeight="false" outlineLevel="0" collapsed="false">
      <c r="A343" s="45" t="n">
        <f aca="false">A342+1</f>
        <v>222</v>
      </c>
      <c r="B343" s="46" t="str">
        <f aca="false">IF(WEEKDAY(C343,2)=1,"Mo",IF(WEEKDAY(C343,2)=2,"Di",IF(WEEKDAY(C343,2)=3,"Mi",IF(WEEKDAY(C343,2)=4,"Do.",IF(WEEKDAY(C343,2)=5,"Fr.",IF(WEEKDAY(C343,2)=6,"Sa.","So"))))))</f>
        <v>Sa.</v>
      </c>
      <c r="C343" s="47" t="n">
        <f aca="false">C342+1</f>
        <v>46305</v>
      </c>
      <c r="D343" s="48"/>
      <c r="E343" s="49"/>
      <c r="F343" s="76" t="s">
        <v>92</v>
      </c>
      <c r="G343" s="51"/>
      <c r="H343" s="52"/>
      <c r="I343" s="43"/>
      <c r="J343" s="43"/>
      <c r="K343" s="43"/>
      <c r="L343" s="43"/>
    </row>
    <row r="344" customFormat="false" ht="14.25" hidden="false" customHeight="true" outlineLevel="0" collapsed="false">
      <c r="A344" s="55" t="n">
        <f aca="false">A343+1</f>
        <v>223</v>
      </c>
      <c r="B344" s="56" t="str">
        <f aca="false">IF(WEEKDAY(C344,2)=1,"Mo",IF(WEEKDAY(C344,2)=2,"Di",IF(WEEKDAY(C344,2)=3,"Mi",IF(WEEKDAY(C344,2)=4,"Do.",IF(WEEKDAY(C344,2)=5,"Fr.",IF(WEEKDAY(C344,2)=6,"Sa.","So"))))))</f>
        <v>So</v>
      </c>
      <c r="C344" s="57" t="n">
        <f aca="false">C343+1</f>
        <v>46306</v>
      </c>
      <c r="D344" s="58"/>
      <c r="E344" s="59"/>
      <c r="F344" s="77" t="s">
        <v>92</v>
      </c>
      <c r="G344" s="61"/>
      <c r="H344" s="62"/>
      <c r="I344" s="43"/>
      <c r="J344" s="43"/>
      <c r="K344" s="43"/>
      <c r="L344" s="43"/>
      <c r="N344" s="63"/>
      <c r="O344" s="64" t="s">
        <v>212</v>
      </c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</row>
    <row r="345" customFormat="false" ht="13.5" hidden="false" customHeight="false" outlineLevel="0" collapsed="false">
      <c r="A345" s="44"/>
      <c r="B345" s="44"/>
      <c r="C345" s="44"/>
      <c r="D345" s="44"/>
      <c r="E345" s="44"/>
      <c r="F345" s="2"/>
      <c r="G345" s="2"/>
      <c r="H345" s="44"/>
      <c r="I345" s="44"/>
      <c r="J345" s="44"/>
      <c r="K345" s="44"/>
      <c r="L345" s="44"/>
      <c r="N345" s="65"/>
      <c r="O345" s="1" t="s">
        <v>117</v>
      </c>
    </row>
    <row r="346" customFormat="false" ht="13.5" hidden="false" customHeight="false" outlineLevel="0" collapsed="false">
      <c r="A346" s="66" t="str">
        <f aca="false">Student_Name</f>
        <v>Hassine</v>
      </c>
      <c r="B346" s="66"/>
      <c r="C346" s="66"/>
      <c r="D346" s="66"/>
      <c r="E346" s="66"/>
      <c r="F346" s="66"/>
      <c r="G346" s="10"/>
      <c r="H346" s="66" t="str">
        <f aca="false">Ausbildungsbetrieb_Unternehmen</f>
        <v>Mechanische Werkstätte Schmidt e.K.</v>
      </c>
      <c r="I346" s="67"/>
      <c r="J346" s="67"/>
      <c r="K346" s="67"/>
      <c r="L346" s="67"/>
    </row>
    <row r="347" customFormat="false" ht="13.5" hidden="false" customHeight="false" outlineLevel="0" collapsed="false">
      <c r="A347" s="68" t="s">
        <v>31</v>
      </c>
      <c r="B347" s="68"/>
      <c r="C347" s="68"/>
      <c r="D347" s="68"/>
      <c r="E347" s="68"/>
      <c r="F347" s="9"/>
      <c r="G347" s="9"/>
      <c r="H347" s="68" t="s">
        <v>32</v>
      </c>
      <c r="I347" s="68"/>
      <c r="J347" s="68"/>
      <c r="K347" s="68"/>
      <c r="L347" s="68"/>
    </row>
    <row r="348" customFormat="false" ht="13.5" hidden="false" customHeight="false" outlineLevel="0" collapsed="false">
      <c r="A348" s="67"/>
      <c r="B348" s="67"/>
      <c r="C348" s="67"/>
      <c r="D348" s="67"/>
      <c r="E348" s="67"/>
      <c r="F348" s="10"/>
      <c r="G348" s="10"/>
      <c r="H348" s="67"/>
      <c r="I348" s="67"/>
      <c r="J348" s="67"/>
      <c r="K348" s="67"/>
      <c r="L348" s="67"/>
    </row>
    <row r="349" customFormat="false" ht="13.5" hidden="false" customHeight="false" outlineLevel="0" collapsed="false">
      <c r="A349" s="66" t="str">
        <f aca="false">Student_Vorname</f>
        <v>Houcine</v>
      </c>
      <c r="B349" s="66"/>
      <c r="C349" s="66"/>
      <c r="D349" s="66"/>
      <c r="E349" s="66"/>
      <c r="F349" s="66"/>
      <c r="G349" s="10"/>
      <c r="H349" s="66" t="str">
        <f aca="false">CONCATENATE(Ausbildungsbetrieb_Vorname, " ", Ausbildungsbetrieb_Name)</f>
        <v>Amine Halloul</v>
      </c>
      <c r="I349" s="67"/>
      <c r="J349" s="67"/>
      <c r="K349" s="67"/>
      <c r="L349" s="67"/>
    </row>
    <row r="350" customFormat="false" ht="13.5" hidden="false" customHeight="false" outlineLevel="0" collapsed="false">
      <c r="A350" s="68" t="s">
        <v>34</v>
      </c>
      <c r="B350" s="68"/>
      <c r="C350" s="68"/>
      <c r="D350" s="68"/>
      <c r="E350" s="68"/>
      <c r="F350" s="9"/>
      <c r="G350" s="9"/>
      <c r="H350" s="68" t="s">
        <v>82</v>
      </c>
      <c r="I350" s="68"/>
      <c r="J350" s="68"/>
      <c r="K350" s="68"/>
      <c r="L350" s="68"/>
    </row>
    <row r="351" customFormat="false" ht="13.5" hidden="false" customHeight="false" outlineLevel="0" collapsed="false">
      <c r="A351" s="67"/>
      <c r="B351" s="67"/>
      <c r="C351" s="67"/>
      <c r="D351" s="67"/>
      <c r="E351" s="67"/>
      <c r="F351" s="10"/>
      <c r="G351" s="10"/>
      <c r="H351" s="67"/>
      <c r="I351" s="67"/>
      <c r="J351" s="67"/>
      <c r="K351" s="67"/>
      <c r="L351" s="67"/>
    </row>
    <row r="352" customFormat="false" ht="13.5" hidden="false" customHeight="false" outlineLevel="0" collapsed="false">
      <c r="A352" s="66" t="str">
        <f aca="false">Student_Studiengruppe</f>
        <v>PA6</v>
      </c>
      <c r="B352" s="66"/>
      <c r="C352" s="66"/>
      <c r="D352" s="66"/>
      <c r="E352" s="66"/>
      <c r="F352" s="66"/>
      <c r="G352" s="10"/>
      <c r="H352" s="66" t="str">
        <f aca="false">Ausbildungsbetrieb_Email</f>
        <v>⟨E-Mail Betreuer⟩</v>
      </c>
      <c r="I352" s="67"/>
      <c r="J352" s="67"/>
      <c r="K352" s="67"/>
      <c r="L352" s="67"/>
    </row>
    <row r="353" customFormat="false" ht="13.5" hidden="false" customHeight="false" outlineLevel="0" collapsed="false">
      <c r="A353" s="68" t="s">
        <v>38</v>
      </c>
      <c r="B353" s="68"/>
      <c r="C353" s="68"/>
      <c r="D353" s="68"/>
      <c r="E353" s="68"/>
      <c r="F353" s="9"/>
      <c r="G353" s="9"/>
      <c r="H353" s="68" t="s">
        <v>83</v>
      </c>
      <c r="I353" s="68"/>
      <c r="J353" s="68"/>
      <c r="K353" s="68"/>
      <c r="L353" s="68"/>
    </row>
    <row r="354" customFormat="false" ht="13.5" hidden="false" customHeight="false" outlineLevel="0" collapsed="false">
      <c r="A354" s="67"/>
      <c r="B354" s="67"/>
      <c r="C354" s="67"/>
      <c r="D354" s="67"/>
      <c r="E354" s="67"/>
      <c r="F354" s="10"/>
      <c r="G354" s="10"/>
      <c r="H354" s="67"/>
      <c r="I354" s="67"/>
      <c r="J354" s="67"/>
      <c r="K354" s="67"/>
      <c r="L354" s="67"/>
    </row>
    <row r="355" customFormat="false" ht="13.5" hidden="false" customHeight="false" outlineLevel="0" collapsed="false">
      <c r="A355" s="66" t="str">
        <f aca="false">Student_Matrikelnummer</f>
        <v>3399727</v>
      </c>
      <c r="B355" s="66"/>
      <c r="C355" s="66"/>
      <c r="D355" s="66"/>
      <c r="E355" s="66"/>
      <c r="F355" s="66"/>
      <c r="G355" s="10"/>
      <c r="H355" s="66" t="str">
        <f aca="false">Ausbildungsbetrieb_Telefon</f>
        <v>⟨Telefon Betreuer⟩</v>
      </c>
      <c r="I355" s="67"/>
      <c r="J355" s="67"/>
      <c r="K355" s="67"/>
      <c r="L355" s="67"/>
    </row>
    <row r="356" customFormat="false" ht="13.5" hidden="false" customHeight="false" outlineLevel="0" collapsed="false">
      <c r="A356" s="68" t="s">
        <v>42</v>
      </c>
      <c r="B356" s="68"/>
      <c r="C356" s="68"/>
      <c r="D356" s="68"/>
      <c r="E356" s="68"/>
      <c r="F356" s="9"/>
      <c r="G356" s="9"/>
      <c r="H356" s="68" t="s">
        <v>84</v>
      </c>
      <c r="I356" s="68"/>
      <c r="J356" s="68"/>
      <c r="K356" s="68"/>
      <c r="L356" s="68"/>
    </row>
    <row r="357" customFormat="false" ht="14.25" hidden="false" customHeight="true" outlineLevel="0" collapsed="false">
      <c r="A357" s="67"/>
      <c r="B357" s="67"/>
      <c r="C357" s="67"/>
      <c r="D357" s="67"/>
      <c r="E357" s="67"/>
      <c r="F357" s="10"/>
      <c r="G357" s="10"/>
      <c r="H357" s="67"/>
      <c r="I357" s="67"/>
      <c r="J357" s="67"/>
      <c r="K357" s="67"/>
      <c r="L357" s="67"/>
    </row>
    <row r="358" customFormat="false" ht="13.5" hidden="false" customHeight="false" outlineLevel="0" collapsed="false">
      <c r="A358" s="69"/>
      <c r="B358" s="70"/>
      <c r="C358" s="70"/>
      <c r="D358" s="70"/>
      <c r="E358" s="70" t="s">
        <v>85</v>
      </c>
      <c r="F358" s="28"/>
      <c r="G358" s="28"/>
      <c r="H358" s="71" t="s">
        <v>86</v>
      </c>
      <c r="I358" s="44"/>
      <c r="J358" s="44"/>
      <c r="K358" s="44"/>
      <c r="L358" s="44"/>
    </row>
    <row r="359" customFormat="false" ht="14.25" hidden="false" customHeight="true" outlineLevel="0" collapsed="false">
      <c r="A359" s="72" t="s">
        <v>87</v>
      </c>
      <c r="B359" s="72"/>
      <c r="C359" s="73" t="s">
        <v>88</v>
      </c>
      <c r="D359" s="73"/>
      <c r="E359" s="74" t="s">
        <v>89</v>
      </c>
      <c r="F359" s="74"/>
      <c r="G359" s="33"/>
      <c r="H359" s="75" t="s">
        <v>90</v>
      </c>
      <c r="I359" s="44"/>
      <c r="J359" s="44"/>
      <c r="K359" s="44"/>
      <c r="L359" s="44"/>
    </row>
    <row r="360" customFormat="false" ht="13.8" hidden="false" customHeight="false" outlineLevel="0" collapsed="false">
      <c r="A360" s="81" t="n">
        <f aca="false">A344+1</f>
        <v>224</v>
      </c>
      <c r="B360" s="78" t="str">
        <f aca="false">IF(WEEKDAY(C360,2)=1,"Mo",IF(WEEKDAY(C360,2)=2,"Di",IF(WEEKDAY(C360,2)=3,"Mi",IF(WEEKDAY(C360,2)=4,"Do.",IF(WEEKDAY(C360,2)=5,"Fr.",IF(WEEKDAY(C360,2)=6,"Sa.","So"))))))</f>
        <v>Mo</v>
      </c>
      <c r="C360" s="82" t="n">
        <f aca="false">C344+1</f>
        <v>46307</v>
      </c>
      <c r="D360" s="83"/>
      <c r="E360" s="84"/>
      <c r="F360" s="78" t="s">
        <v>92</v>
      </c>
      <c r="G360" s="41"/>
      <c r="H360" s="85"/>
      <c r="I360" s="86"/>
      <c r="J360" s="86"/>
      <c r="K360" s="86"/>
      <c r="L360" s="86"/>
    </row>
    <row r="361" customFormat="false" ht="13.8" hidden="false" customHeight="false" outlineLevel="0" collapsed="false">
      <c r="A361" s="87" t="n">
        <f aca="false">A360+1</f>
        <v>225</v>
      </c>
      <c r="B361" s="76" t="str">
        <f aca="false">IF(WEEKDAY(C361,2)=1,"Mo",IF(WEEKDAY(C361,2)=2,"Di",IF(WEEKDAY(C361,2)=3,"Mi",IF(WEEKDAY(C361,2)=4,"Do.",IF(WEEKDAY(C361,2)=5,"Fr.",IF(WEEKDAY(C361,2)=6,"Sa.","So"))))))</f>
        <v>Di</v>
      </c>
      <c r="C361" s="88" t="n">
        <f aca="false">C360+1</f>
        <v>46308</v>
      </c>
      <c r="D361" s="89"/>
      <c r="E361" s="90"/>
      <c r="F361" s="76" t="s">
        <v>92</v>
      </c>
      <c r="G361" s="51"/>
      <c r="H361" s="91"/>
      <c r="I361" s="86"/>
      <c r="J361" s="86"/>
      <c r="K361" s="86"/>
      <c r="L361" s="86"/>
    </row>
    <row r="362" customFormat="false" ht="13.8" hidden="false" customHeight="false" outlineLevel="0" collapsed="false">
      <c r="A362" s="87" t="n">
        <f aca="false">A361+1</f>
        <v>226</v>
      </c>
      <c r="B362" s="76" t="str">
        <f aca="false">IF(WEEKDAY(C362,2)=1,"Mo",IF(WEEKDAY(C362,2)=2,"Di",IF(WEEKDAY(C362,2)=3,"Mi",IF(WEEKDAY(C362,2)=4,"Do.",IF(WEEKDAY(C362,2)=5,"Fr.",IF(WEEKDAY(C362,2)=6,"Sa.","So"))))))</f>
        <v>Mi</v>
      </c>
      <c r="C362" s="88" t="n">
        <f aca="false">C361+1</f>
        <v>46309</v>
      </c>
      <c r="D362" s="89"/>
      <c r="E362" s="90"/>
      <c r="F362" s="76" t="s">
        <v>92</v>
      </c>
      <c r="G362" s="51"/>
      <c r="H362" s="91"/>
      <c r="I362" s="86"/>
      <c r="J362" s="86"/>
      <c r="K362" s="86"/>
      <c r="L362" s="86"/>
    </row>
    <row r="363" customFormat="false" ht="13.8" hidden="false" customHeight="false" outlineLevel="0" collapsed="false">
      <c r="A363" s="87" t="n">
        <f aca="false">A362+1</f>
        <v>227</v>
      </c>
      <c r="B363" s="76" t="str">
        <f aca="false">IF(WEEKDAY(C363,2)=1,"Mo",IF(WEEKDAY(C363,2)=2,"Di",IF(WEEKDAY(C363,2)=3,"Mi",IF(WEEKDAY(C363,2)=4,"Do.",IF(WEEKDAY(C363,2)=5,"Fr.",IF(WEEKDAY(C363,2)=6,"Sa.","So"))))))</f>
        <v>Do.</v>
      </c>
      <c r="C363" s="88" t="n">
        <f aca="false">C362+1</f>
        <v>46310</v>
      </c>
      <c r="D363" s="89"/>
      <c r="E363" s="90"/>
      <c r="F363" s="76" t="s">
        <v>92</v>
      </c>
      <c r="G363" s="51"/>
      <c r="H363" s="91"/>
      <c r="I363" s="86"/>
      <c r="J363" s="86"/>
      <c r="K363" s="86"/>
      <c r="L363" s="86"/>
    </row>
    <row r="364" customFormat="false" ht="13.8" hidden="false" customHeight="false" outlineLevel="0" collapsed="false">
      <c r="A364" s="87" t="n">
        <f aca="false">A363+1</f>
        <v>228</v>
      </c>
      <c r="B364" s="76" t="str">
        <f aca="false">IF(WEEKDAY(C364,2)=1,"Mo",IF(WEEKDAY(C364,2)=2,"Di",IF(WEEKDAY(C364,2)=3,"Mi",IF(WEEKDAY(C364,2)=4,"Do.",IF(WEEKDAY(C364,2)=5,"Fr.",IF(WEEKDAY(C364,2)=6,"Sa.","So"))))))</f>
        <v>Fr.</v>
      </c>
      <c r="C364" s="88" t="n">
        <f aca="false">C363+1</f>
        <v>46311</v>
      </c>
      <c r="D364" s="89"/>
      <c r="E364" s="90"/>
      <c r="F364" s="76" t="s">
        <v>92</v>
      </c>
      <c r="G364" s="51"/>
      <c r="H364" s="91"/>
      <c r="I364" s="86"/>
      <c r="J364" s="86"/>
      <c r="K364" s="86"/>
      <c r="L364" s="86"/>
    </row>
    <row r="365" customFormat="false" ht="13.8" hidden="false" customHeight="false" outlineLevel="0" collapsed="false">
      <c r="A365" s="87" t="n">
        <f aca="false">A364+1</f>
        <v>229</v>
      </c>
      <c r="B365" s="76" t="str">
        <f aca="false">IF(WEEKDAY(C365,2)=1,"Mo",IF(WEEKDAY(C365,2)=2,"Di",IF(WEEKDAY(C365,2)=3,"Mi",IF(WEEKDAY(C365,2)=4,"Do.",IF(WEEKDAY(C365,2)=5,"Fr.",IF(WEEKDAY(C365,2)=6,"Sa.","So"))))))</f>
        <v>Sa.</v>
      </c>
      <c r="C365" s="88" t="n">
        <f aca="false">C364+1</f>
        <v>46312</v>
      </c>
      <c r="D365" s="89"/>
      <c r="E365" s="90"/>
      <c r="F365" s="76" t="s">
        <v>92</v>
      </c>
      <c r="G365" s="51"/>
      <c r="H365" s="91"/>
      <c r="I365" s="86"/>
      <c r="J365" s="86"/>
      <c r="K365" s="86"/>
      <c r="L365" s="86"/>
    </row>
    <row r="366" customFormat="false" ht="13.8" hidden="false" customHeight="false" outlineLevel="0" collapsed="false">
      <c r="A366" s="87" t="n">
        <f aca="false">A365+1</f>
        <v>230</v>
      </c>
      <c r="B366" s="76" t="str">
        <f aca="false">IF(WEEKDAY(C366,2)=1,"Mo",IF(WEEKDAY(C366,2)=2,"Di",IF(WEEKDAY(C366,2)=3,"Mi",IF(WEEKDAY(C366,2)=4,"Do.",IF(WEEKDAY(C366,2)=5,"Fr.",IF(WEEKDAY(C366,2)=6,"Sa.","So"))))))</f>
        <v>So</v>
      </c>
      <c r="C366" s="88" t="n">
        <f aca="false">C365+1</f>
        <v>46313</v>
      </c>
      <c r="D366" s="89"/>
      <c r="E366" s="90"/>
      <c r="F366" s="76" t="s">
        <v>92</v>
      </c>
      <c r="G366" s="51"/>
      <c r="H366" s="91"/>
      <c r="I366" s="86"/>
      <c r="J366" s="86"/>
      <c r="K366" s="86"/>
      <c r="L366" s="86"/>
    </row>
    <row r="367" customFormat="false" ht="13.8" hidden="false" customHeight="false" outlineLevel="0" collapsed="false">
      <c r="A367" s="87" t="n">
        <f aca="false">A366+1</f>
        <v>231</v>
      </c>
      <c r="B367" s="76" t="str">
        <f aca="false">IF(WEEKDAY(C367,2)=1,"Mo",IF(WEEKDAY(C367,2)=2,"Di",IF(WEEKDAY(C367,2)=3,"Mi",IF(WEEKDAY(C367,2)=4,"Do.",IF(WEEKDAY(C367,2)=5,"Fr.",IF(WEEKDAY(C367,2)=6,"Sa.","So"))))))</f>
        <v>Mo</v>
      </c>
      <c r="C367" s="88" t="n">
        <f aca="false">C366+1</f>
        <v>46314</v>
      </c>
      <c r="D367" s="89"/>
      <c r="E367" s="90"/>
      <c r="F367" s="76" t="s">
        <v>92</v>
      </c>
      <c r="G367" s="51"/>
      <c r="H367" s="91"/>
      <c r="I367" s="86"/>
      <c r="J367" s="86"/>
      <c r="K367" s="86"/>
      <c r="L367" s="86"/>
    </row>
    <row r="368" customFormat="false" ht="13.8" hidden="false" customHeight="false" outlineLevel="0" collapsed="false">
      <c r="A368" s="87" t="n">
        <f aca="false">A367+1</f>
        <v>232</v>
      </c>
      <c r="B368" s="76" t="str">
        <f aca="false">IF(WEEKDAY(C368,2)=1,"Mo",IF(WEEKDAY(C368,2)=2,"Di",IF(WEEKDAY(C368,2)=3,"Mi",IF(WEEKDAY(C368,2)=4,"Do.",IF(WEEKDAY(C368,2)=5,"Fr.",IF(WEEKDAY(C368,2)=6,"Sa.","So"))))))</f>
        <v>Di</v>
      </c>
      <c r="C368" s="88" t="n">
        <f aca="false">C367+1</f>
        <v>46315</v>
      </c>
      <c r="D368" s="89"/>
      <c r="E368" s="90"/>
      <c r="F368" s="76" t="s">
        <v>92</v>
      </c>
      <c r="G368" s="51"/>
      <c r="H368" s="91"/>
      <c r="I368" s="86"/>
      <c r="J368" s="86"/>
      <c r="K368" s="86"/>
      <c r="L368" s="86"/>
    </row>
    <row r="369" customFormat="false" ht="13.8" hidden="false" customHeight="false" outlineLevel="0" collapsed="false">
      <c r="A369" s="87" t="n">
        <f aca="false">A368+1</f>
        <v>233</v>
      </c>
      <c r="B369" s="76" t="str">
        <f aca="false">IF(WEEKDAY(C369,2)=1,"Mo",IF(WEEKDAY(C369,2)=2,"Di",IF(WEEKDAY(C369,2)=3,"Mi",IF(WEEKDAY(C369,2)=4,"Do.",IF(WEEKDAY(C369,2)=5,"Fr.",IF(WEEKDAY(C369,2)=6,"Sa.","So"))))))</f>
        <v>Mi</v>
      </c>
      <c r="C369" s="88" t="n">
        <f aca="false">C368+1</f>
        <v>46316</v>
      </c>
      <c r="D369" s="89"/>
      <c r="E369" s="90"/>
      <c r="F369" s="76" t="s">
        <v>92</v>
      </c>
      <c r="G369" s="51"/>
      <c r="H369" s="91"/>
      <c r="I369" s="86"/>
      <c r="J369" s="86"/>
      <c r="K369" s="86"/>
      <c r="L369" s="86"/>
    </row>
    <row r="370" customFormat="false" ht="13.8" hidden="false" customHeight="false" outlineLevel="0" collapsed="false">
      <c r="A370" s="87" t="n">
        <f aca="false">A369+1</f>
        <v>234</v>
      </c>
      <c r="B370" s="76" t="str">
        <f aca="false">IF(WEEKDAY(C370,2)=1,"Mo",IF(WEEKDAY(C370,2)=2,"Di",IF(WEEKDAY(C370,2)=3,"Mi",IF(WEEKDAY(C370,2)=4,"Do.",IF(WEEKDAY(C370,2)=5,"Fr.",IF(WEEKDAY(C370,2)=6,"Sa.","So"))))))</f>
        <v>Do.</v>
      </c>
      <c r="C370" s="88" t="n">
        <f aca="false">C369+1</f>
        <v>46317</v>
      </c>
      <c r="D370" s="89"/>
      <c r="E370" s="90"/>
      <c r="F370" s="76" t="s">
        <v>92</v>
      </c>
      <c r="G370" s="51"/>
      <c r="H370" s="91"/>
      <c r="I370" s="86"/>
      <c r="J370" s="86"/>
      <c r="K370" s="86"/>
      <c r="L370" s="86"/>
    </row>
    <row r="371" customFormat="false" ht="13.8" hidden="false" customHeight="false" outlineLevel="0" collapsed="false">
      <c r="A371" s="87" t="n">
        <f aca="false">A370+1</f>
        <v>235</v>
      </c>
      <c r="B371" s="76" t="str">
        <f aca="false">IF(WEEKDAY(C371,2)=1,"Mo",IF(WEEKDAY(C371,2)=2,"Di",IF(WEEKDAY(C371,2)=3,"Mi",IF(WEEKDAY(C371,2)=4,"Do.",IF(WEEKDAY(C371,2)=5,"Fr.",IF(WEEKDAY(C371,2)=6,"Sa.","So"))))))</f>
        <v>Fr.</v>
      </c>
      <c r="C371" s="88" t="n">
        <f aca="false">C370+1</f>
        <v>46318</v>
      </c>
      <c r="D371" s="89"/>
      <c r="E371" s="90"/>
      <c r="F371" s="76" t="s">
        <v>92</v>
      </c>
      <c r="G371" s="51"/>
      <c r="H371" s="91"/>
      <c r="I371" s="86"/>
      <c r="J371" s="86"/>
      <c r="K371" s="86"/>
      <c r="L371" s="86"/>
    </row>
    <row r="372" customFormat="false" ht="13.8" hidden="false" customHeight="false" outlineLevel="0" collapsed="false">
      <c r="A372" s="87" t="n">
        <f aca="false">A371+1</f>
        <v>236</v>
      </c>
      <c r="B372" s="76" t="str">
        <f aca="false">IF(WEEKDAY(C372,2)=1,"Mo",IF(WEEKDAY(C372,2)=2,"Di",IF(WEEKDAY(C372,2)=3,"Mi",IF(WEEKDAY(C372,2)=4,"Do.",IF(WEEKDAY(C372,2)=5,"Fr.",IF(WEEKDAY(C372,2)=6,"Sa.","So"))))))</f>
        <v>Sa.</v>
      </c>
      <c r="C372" s="88" t="n">
        <f aca="false">C371+1</f>
        <v>46319</v>
      </c>
      <c r="D372" s="89"/>
      <c r="E372" s="90"/>
      <c r="F372" s="76" t="s">
        <v>92</v>
      </c>
      <c r="G372" s="51"/>
      <c r="H372" s="91"/>
      <c r="I372" s="86"/>
      <c r="J372" s="86"/>
      <c r="K372" s="86"/>
      <c r="L372" s="86"/>
    </row>
    <row r="373" customFormat="false" ht="13.8" hidden="false" customHeight="false" outlineLevel="0" collapsed="false">
      <c r="A373" s="87" t="n">
        <f aca="false">A372+1</f>
        <v>237</v>
      </c>
      <c r="B373" s="76" t="str">
        <f aca="false">IF(WEEKDAY(C373,2)=1,"Mo",IF(WEEKDAY(C373,2)=2,"Di",IF(WEEKDAY(C373,2)=3,"Mi",IF(WEEKDAY(C373,2)=4,"Do.",IF(WEEKDAY(C373,2)=5,"Fr.",IF(WEEKDAY(C373,2)=6,"Sa.","So"))))))</f>
        <v>So</v>
      </c>
      <c r="C373" s="88" t="n">
        <f aca="false">C372+1</f>
        <v>46320</v>
      </c>
      <c r="D373" s="89"/>
      <c r="E373" s="90"/>
      <c r="F373" s="76" t="s">
        <v>92</v>
      </c>
      <c r="G373" s="51"/>
      <c r="H373" s="91"/>
      <c r="I373" s="86"/>
      <c r="J373" s="86"/>
      <c r="K373" s="86"/>
      <c r="L373" s="86"/>
    </row>
    <row r="374" customFormat="false" ht="13.8" hidden="false" customHeight="false" outlineLevel="0" collapsed="false">
      <c r="A374" s="87" t="n">
        <f aca="false">A373+1</f>
        <v>238</v>
      </c>
      <c r="B374" s="76" t="str">
        <f aca="false">IF(WEEKDAY(C374,2)=1,"Mo",IF(WEEKDAY(C374,2)=2,"Di",IF(WEEKDAY(C374,2)=3,"Mi",IF(WEEKDAY(C374,2)=4,"Do.",IF(WEEKDAY(C374,2)=5,"Fr.",IF(WEEKDAY(C374,2)=6,"Sa.","So"))))))</f>
        <v>Mo</v>
      </c>
      <c r="C374" s="88" t="n">
        <f aca="false">C373+1</f>
        <v>46321</v>
      </c>
      <c r="D374" s="89"/>
      <c r="E374" s="90"/>
      <c r="F374" s="76" t="s">
        <v>92</v>
      </c>
      <c r="G374" s="51"/>
      <c r="H374" s="91"/>
      <c r="I374" s="86"/>
      <c r="J374" s="86"/>
      <c r="K374" s="86"/>
      <c r="L374" s="86"/>
    </row>
    <row r="375" customFormat="false" ht="13.8" hidden="false" customHeight="false" outlineLevel="0" collapsed="false">
      <c r="A375" s="87" t="n">
        <f aca="false">A374+1</f>
        <v>239</v>
      </c>
      <c r="B375" s="76" t="str">
        <f aca="false">IF(WEEKDAY(C375,2)=1,"Mo",IF(WEEKDAY(C375,2)=2,"Di",IF(WEEKDAY(C375,2)=3,"Mi",IF(WEEKDAY(C375,2)=4,"Do.",IF(WEEKDAY(C375,2)=5,"Fr.",IF(WEEKDAY(C375,2)=6,"Sa.","So"))))))</f>
        <v>Di</v>
      </c>
      <c r="C375" s="88" t="n">
        <f aca="false">C374+1</f>
        <v>46322</v>
      </c>
      <c r="D375" s="89"/>
      <c r="E375" s="90"/>
      <c r="F375" s="76" t="s">
        <v>92</v>
      </c>
      <c r="G375" s="51"/>
      <c r="H375" s="91"/>
      <c r="I375" s="86"/>
      <c r="J375" s="86"/>
      <c r="K375" s="86"/>
      <c r="L375" s="86"/>
    </row>
    <row r="376" customFormat="false" ht="13.8" hidden="false" customHeight="false" outlineLevel="0" collapsed="false">
      <c r="A376" s="87" t="n">
        <f aca="false">A375+1</f>
        <v>240</v>
      </c>
      <c r="B376" s="76" t="str">
        <f aca="false">IF(WEEKDAY(C376,2)=1,"Mo",IF(WEEKDAY(C376,2)=2,"Di",IF(WEEKDAY(C376,2)=3,"Mi",IF(WEEKDAY(C376,2)=4,"Do.",IF(WEEKDAY(C376,2)=5,"Fr.",IF(WEEKDAY(C376,2)=6,"Sa.","So"))))))</f>
        <v>Mi</v>
      </c>
      <c r="C376" s="88" t="n">
        <f aca="false">C375+1</f>
        <v>46323</v>
      </c>
      <c r="D376" s="89"/>
      <c r="E376" s="90"/>
      <c r="F376" s="76" t="s">
        <v>92</v>
      </c>
      <c r="G376" s="51"/>
      <c r="H376" s="91"/>
      <c r="I376" s="86"/>
      <c r="J376" s="86"/>
      <c r="K376" s="86"/>
      <c r="L376" s="86"/>
    </row>
    <row r="377" customFormat="false" ht="13.8" hidden="false" customHeight="false" outlineLevel="0" collapsed="false">
      <c r="A377" s="87" t="n">
        <f aca="false">A376+1</f>
        <v>241</v>
      </c>
      <c r="B377" s="76" t="str">
        <f aca="false">IF(WEEKDAY(C377,2)=1,"Mo",IF(WEEKDAY(C377,2)=2,"Di",IF(WEEKDAY(C377,2)=3,"Mi",IF(WEEKDAY(C377,2)=4,"Do.",IF(WEEKDAY(C377,2)=5,"Fr.",IF(WEEKDAY(C377,2)=6,"Sa.","So"))))))</f>
        <v>Do.</v>
      </c>
      <c r="C377" s="88" t="n">
        <f aca="false">C376+1</f>
        <v>46324</v>
      </c>
      <c r="D377" s="89"/>
      <c r="E377" s="90"/>
      <c r="F377" s="76" t="s">
        <v>92</v>
      </c>
      <c r="G377" s="51"/>
      <c r="H377" s="91"/>
      <c r="I377" s="86"/>
      <c r="J377" s="86"/>
      <c r="K377" s="86"/>
      <c r="L377" s="86"/>
    </row>
    <row r="378" customFormat="false" ht="13.8" hidden="false" customHeight="false" outlineLevel="0" collapsed="false">
      <c r="A378" s="87" t="n">
        <f aca="false">A377+1</f>
        <v>242</v>
      </c>
      <c r="B378" s="76" t="str">
        <f aca="false">IF(WEEKDAY(C378,2)=1,"Mo",IF(WEEKDAY(C378,2)=2,"Di",IF(WEEKDAY(C378,2)=3,"Mi",IF(WEEKDAY(C378,2)=4,"Do.",IF(WEEKDAY(C378,2)=5,"Fr.",IF(WEEKDAY(C378,2)=6,"Sa.","So"))))))</f>
        <v>Fr.</v>
      </c>
      <c r="C378" s="88" t="n">
        <f aca="false">C377+1</f>
        <v>46325</v>
      </c>
      <c r="D378" s="89"/>
      <c r="E378" s="90"/>
      <c r="F378" s="76" t="s">
        <v>92</v>
      </c>
      <c r="G378" s="51"/>
      <c r="H378" s="91"/>
      <c r="I378" s="86"/>
      <c r="J378" s="86"/>
      <c r="K378" s="86"/>
      <c r="L378" s="86"/>
    </row>
    <row r="379" customFormat="false" ht="13.8" hidden="false" customHeight="false" outlineLevel="0" collapsed="false">
      <c r="A379" s="87" t="n">
        <f aca="false">A378+1</f>
        <v>243</v>
      </c>
      <c r="B379" s="76" t="str">
        <f aca="false">IF(WEEKDAY(C379,2)=1,"Mo",IF(WEEKDAY(C379,2)=2,"Di",IF(WEEKDAY(C379,2)=3,"Mi",IF(WEEKDAY(C379,2)=4,"Do.",IF(WEEKDAY(C379,2)=5,"Fr.",IF(WEEKDAY(C379,2)=6,"Sa.","So"))))))</f>
        <v>Sa.</v>
      </c>
      <c r="C379" s="88" t="n">
        <f aca="false">C378+1</f>
        <v>46326</v>
      </c>
      <c r="D379" s="89"/>
      <c r="E379" s="90"/>
      <c r="F379" s="76" t="s">
        <v>92</v>
      </c>
      <c r="G379" s="51"/>
      <c r="H379" s="91"/>
      <c r="I379" s="86"/>
      <c r="J379" s="86"/>
      <c r="K379" s="86"/>
      <c r="L379" s="86"/>
    </row>
    <row r="380" customFormat="false" ht="13.8" hidden="false" customHeight="false" outlineLevel="0" collapsed="false">
      <c r="A380" s="87" t="n">
        <f aca="false">A379+1</f>
        <v>244</v>
      </c>
      <c r="B380" s="76" t="str">
        <f aca="false">IF(WEEKDAY(C380,2)=1,"Mo",IF(WEEKDAY(C380,2)=2,"Di",IF(WEEKDAY(C380,2)=3,"Mi",IF(WEEKDAY(C380,2)=4,"Do.",IF(WEEKDAY(C380,2)=5,"Fr.",IF(WEEKDAY(C380,2)=6,"Sa.","So"))))))</f>
        <v>So</v>
      </c>
      <c r="C380" s="88" t="n">
        <f aca="false">C379+1</f>
        <v>46327</v>
      </c>
      <c r="D380" s="89"/>
      <c r="E380" s="90"/>
      <c r="F380" s="76" t="s">
        <v>92</v>
      </c>
      <c r="G380" s="51"/>
      <c r="H380" s="91"/>
      <c r="I380" s="86"/>
      <c r="J380" s="86"/>
      <c r="K380" s="86"/>
      <c r="L380" s="86"/>
    </row>
    <row r="381" customFormat="false" ht="13.8" hidden="false" customHeight="false" outlineLevel="0" collapsed="false">
      <c r="A381" s="87" t="n">
        <f aca="false">A380+1</f>
        <v>245</v>
      </c>
      <c r="B381" s="76" t="str">
        <f aca="false">IF(WEEKDAY(C381,2)=1,"Mo",IF(WEEKDAY(C381,2)=2,"Di",IF(WEEKDAY(C381,2)=3,"Mi",IF(WEEKDAY(C381,2)=4,"Do.",IF(WEEKDAY(C381,2)=5,"Fr.",IF(WEEKDAY(C381,2)=6,"Sa.","So"))))))</f>
        <v>Mo</v>
      </c>
      <c r="C381" s="88" t="n">
        <f aca="false">C380+1</f>
        <v>46328</v>
      </c>
      <c r="D381" s="89"/>
      <c r="E381" s="90"/>
      <c r="F381" s="76" t="s">
        <v>92</v>
      </c>
      <c r="G381" s="51"/>
      <c r="H381" s="91"/>
      <c r="I381" s="86"/>
      <c r="J381" s="86"/>
      <c r="K381" s="86"/>
      <c r="L381" s="86"/>
    </row>
    <row r="382" customFormat="false" ht="13.8" hidden="false" customHeight="false" outlineLevel="0" collapsed="false">
      <c r="A382" s="87" t="n">
        <f aca="false">A381+1</f>
        <v>246</v>
      </c>
      <c r="B382" s="76" t="str">
        <f aca="false">IF(WEEKDAY(C382,2)=1,"Mo",IF(WEEKDAY(C382,2)=2,"Di",IF(WEEKDAY(C382,2)=3,"Mi",IF(WEEKDAY(C382,2)=4,"Do.",IF(WEEKDAY(C382,2)=5,"Fr.",IF(WEEKDAY(C382,2)=6,"Sa.","So"))))))</f>
        <v>Di</v>
      </c>
      <c r="C382" s="88" t="n">
        <f aca="false">C381+1</f>
        <v>46329</v>
      </c>
      <c r="D382" s="89"/>
      <c r="E382" s="90"/>
      <c r="F382" s="76" t="s">
        <v>92</v>
      </c>
      <c r="G382" s="51"/>
      <c r="H382" s="91"/>
      <c r="I382" s="86"/>
      <c r="J382" s="86"/>
      <c r="K382" s="86"/>
      <c r="L382" s="86"/>
    </row>
    <row r="383" customFormat="false" ht="13.8" hidden="false" customHeight="false" outlineLevel="0" collapsed="false">
      <c r="A383" s="87" t="n">
        <f aca="false">A382+1</f>
        <v>247</v>
      </c>
      <c r="B383" s="76" t="str">
        <f aca="false">IF(WEEKDAY(C383,2)=1,"Mo",IF(WEEKDAY(C383,2)=2,"Di",IF(WEEKDAY(C383,2)=3,"Mi",IF(WEEKDAY(C383,2)=4,"Do.",IF(WEEKDAY(C383,2)=5,"Fr.",IF(WEEKDAY(C383,2)=6,"Sa.","So"))))))</f>
        <v>Mi</v>
      </c>
      <c r="C383" s="88" t="n">
        <f aca="false">C382+1</f>
        <v>46330</v>
      </c>
      <c r="D383" s="89"/>
      <c r="E383" s="90"/>
      <c r="F383" s="76" t="s">
        <v>92</v>
      </c>
      <c r="G383" s="51"/>
      <c r="H383" s="91"/>
      <c r="I383" s="86"/>
      <c r="J383" s="86"/>
      <c r="K383" s="86"/>
      <c r="L383" s="86"/>
    </row>
    <row r="384" customFormat="false" ht="13.8" hidden="false" customHeight="false" outlineLevel="0" collapsed="false">
      <c r="A384" s="87" t="n">
        <f aca="false">A383+1</f>
        <v>248</v>
      </c>
      <c r="B384" s="76" t="str">
        <f aca="false">IF(WEEKDAY(C384,2)=1,"Mo",IF(WEEKDAY(C384,2)=2,"Di",IF(WEEKDAY(C384,2)=3,"Mi",IF(WEEKDAY(C384,2)=4,"Do.",IF(WEEKDAY(C384,2)=5,"Fr.",IF(WEEKDAY(C384,2)=6,"Sa.","So"))))))</f>
        <v>Do.</v>
      </c>
      <c r="C384" s="88" t="n">
        <f aca="false">C383+1</f>
        <v>46331</v>
      </c>
      <c r="D384" s="89"/>
      <c r="E384" s="90"/>
      <c r="F384" s="76" t="s">
        <v>92</v>
      </c>
      <c r="G384" s="51"/>
      <c r="H384" s="91"/>
      <c r="I384" s="86"/>
      <c r="J384" s="86"/>
      <c r="K384" s="86"/>
      <c r="L384" s="86"/>
    </row>
    <row r="385" customFormat="false" ht="13.8" hidden="false" customHeight="false" outlineLevel="0" collapsed="false">
      <c r="A385" s="87" t="n">
        <f aca="false">A384+1</f>
        <v>249</v>
      </c>
      <c r="B385" s="76" t="str">
        <f aca="false">IF(WEEKDAY(C385,2)=1,"Mo",IF(WEEKDAY(C385,2)=2,"Di",IF(WEEKDAY(C385,2)=3,"Mi",IF(WEEKDAY(C385,2)=4,"Do.",IF(WEEKDAY(C385,2)=5,"Fr.",IF(WEEKDAY(C385,2)=6,"Sa.","So"))))))</f>
        <v>Fr.</v>
      </c>
      <c r="C385" s="88" t="n">
        <f aca="false">C384+1</f>
        <v>46332</v>
      </c>
      <c r="D385" s="89"/>
      <c r="E385" s="90"/>
      <c r="F385" s="76" t="s">
        <v>92</v>
      </c>
      <c r="G385" s="51"/>
      <c r="H385" s="91"/>
      <c r="I385" s="86"/>
      <c r="J385" s="86"/>
      <c r="K385" s="86"/>
      <c r="L385" s="86"/>
    </row>
    <row r="386" customFormat="false" ht="13.8" hidden="false" customHeight="false" outlineLevel="0" collapsed="false">
      <c r="A386" s="87" t="n">
        <f aca="false">A385+1</f>
        <v>250</v>
      </c>
      <c r="B386" s="76" t="str">
        <f aca="false">IF(WEEKDAY(C386,2)=1,"Mo",IF(WEEKDAY(C386,2)=2,"Di",IF(WEEKDAY(C386,2)=3,"Mi",IF(WEEKDAY(C386,2)=4,"Do.",IF(WEEKDAY(C386,2)=5,"Fr.",IF(WEEKDAY(C386,2)=6,"Sa.","So"))))))</f>
        <v>Sa.</v>
      </c>
      <c r="C386" s="88" t="n">
        <f aca="false">C385+1</f>
        <v>46333</v>
      </c>
      <c r="D386" s="89"/>
      <c r="E386" s="90"/>
      <c r="F386" s="76" t="s">
        <v>92</v>
      </c>
      <c r="G386" s="51"/>
      <c r="H386" s="91"/>
      <c r="I386" s="86"/>
      <c r="J386" s="86"/>
      <c r="K386" s="86"/>
      <c r="L386" s="86"/>
    </row>
    <row r="387" customFormat="false" ht="14.25" hidden="false" customHeight="true" outlineLevel="0" collapsed="false">
      <c r="A387" s="92" t="n">
        <f aca="false">A386+1</f>
        <v>251</v>
      </c>
      <c r="B387" s="77" t="str">
        <f aca="false">IF(WEEKDAY(C387,2)=1,"Mo",IF(WEEKDAY(C387,2)=2,"Di",IF(WEEKDAY(C387,2)=3,"Mi",IF(WEEKDAY(C387,2)=4,"Do.",IF(WEEKDAY(C387,2)=5,"Fr.",IF(WEEKDAY(C387,2)=6,"Sa.","So"))))))</f>
        <v>So</v>
      </c>
      <c r="C387" s="93" t="n">
        <f aca="false">C386+1</f>
        <v>46334</v>
      </c>
      <c r="D387" s="94"/>
      <c r="E387" s="95"/>
      <c r="F387" s="77" t="s">
        <v>92</v>
      </c>
      <c r="G387" s="61"/>
      <c r="H387" s="96"/>
      <c r="I387" s="86"/>
      <c r="J387" s="86"/>
      <c r="K387" s="86"/>
      <c r="L387" s="86"/>
      <c r="N387" s="63"/>
      <c r="O387" s="64" t="s">
        <v>212</v>
      </c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</row>
    <row r="388" customFormat="false" ht="13.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N388" s="65"/>
      <c r="O388" s="1" t="s">
        <v>117</v>
      </c>
    </row>
    <row r="389" customFormat="false" ht="13.5" hidden="false" customHeight="false" outlineLevel="0" collapsed="false">
      <c r="A389" s="25" t="str">
        <f aca="false">Student_Name</f>
        <v>Hassine</v>
      </c>
      <c r="B389" s="25"/>
      <c r="C389" s="25"/>
      <c r="D389" s="25"/>
      <c r="E389" s="25"/>
      <c r="F389" s="25"/>
      <c r="G389" s="10"/>
      <c r="H389" s="25" t="str">
        <f aca="false">Ausbildungsbetrieb_Unternehmen</f>
        <v>Mechanische Werkstätte Schmidt e.K.</v>
      </c>
      <c r="I389" s="10"/>
      <c r="J389" s="10"/>
      <c r="K389" s="10"/>
      <c r="L389" s="10"/>
    </row>
    <row r="390" customFormat="false" ht="13.5" hidden="false" customHeight="false" outlineLevel="0" collapsed="false">
      <c r="A390" s="9" t="s">
        <v>31</v>
      </c>
      <c r="B390" s="9"/>
      <c r="C390" s="9"/>
      <c r="D390" s="9"/>
      <c r="E390" s="9"/>
      <c r="F390" s="9"/>
      <c r="G390" s="9"/>
      <c r="H390" s="9" t="s">
        <v>32</v>
      </c>
      <c r="I390" s="9"/>
      <c r="J390" s="9"/>
      <c r="K390" s="9"/>
      <c r="L390" s="9"/>
    </row>
    <row r="391" customFormat="false" ht="13.5" hidden="false" customHeight="false" outlineLevel="0" collapsed="false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</row>
    <row r="392" customFormat="false" ht="13.5" hidden="false" customHeight="false" outlineLevel="0" collapsed="false">
      <c r="A392" s="25" t="str">
        <f aca="false">Student_Vorname</f>
        <v>Houcine</v>
      </c>
      <c r="B392" s="25"/>
      <c r="C392" s="25"/>
      <c r="D392" s="25"/>
      <c r="E392" s="25"/>
      <c r="F392" s="25"/>
      <c r="G392" s="10"/>
      <c r="H392" s="25" t="str">
        <f aca="false">CONCATENATE(Ausbildungsbetrieb_Vorname, " ", Ausbildungsbetrieb_Name)</f>
        <v>Amine Halloul</v>
      </c>
      <c r="I392" s="10"/>
      <c r="J392" s="10"/>
      <c r="K392" s="10"/>
      <c r="L392" s="10"/>
    </row>
    <row r="393" customFormat="false" ht="13.5" hidden="false" customHeight="false" outlineLevel="0" collapsed="false">
      <c r="A393" s="9" t="s">
        <v>34</v>
      </c>
      <c r="B393" s="9"/>
      <c r="C393" s="9"/>
      <c r="D393" s="9"/>
      <c r="E393" s="9"/>
      <c r="F393" s="9"/>
      <c r="G393" s="9"/>
      <c r="H393" s="9" t="s">
        <v>82</v>
      </c>
      <c r="I393" s="9"/>
      <c r="J393" s="9"/>
      <c r="K393" s="9"/>
      <c r="L393" s="9"/>
    </row>
    <row r="394" customFormat="false" ht="13.5" hidden="false" customHeight="false" outlineLevel="0" collapsed="false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</row>
    <row r="395" customFormat="false" ht="13.5" hidden="false" customHeight="false" outlineLevel="0" collapsed="false">
      <c r="A395" s="25" t="str">
        <f aca="false">Student_Studiengruppe</f>
        <v>PA6</v>
      </c>
      <c r="B395" s="25"/>
      <c r="C395" s="25"/>
      <c r="D395" s="25"/>
      <c r="E395" s="25"/>
      <c r="F395" s="25"/>
      <c r="G395" s="10"/>
      <c r="H395" s="25" t="str">
        <f aca="false">Ausbildungsbetrieb_Email</f>
        <v>⟨E-Mail Betreuer⟩</v>
      </c>
      <c r="I395" s="10"/>
      <c r="J395" s="10"/>
      <c r="K395" s="10"/>
      <c r="L395" s="10"/>
    </row>
    <row r="396" customFormat="false" ht="13.5" hidden="false" customHeight="false" outlineLevel="0" collapsed="false">
      <c r="A396" s="9" t="s">
        <v>38</v>
      </c>
      <c r="B396" s="9"/>
      <c r="C396" s="9"/>
      <c r="D396" s="9"/>
      <c r="E396" s="9"/>
      <c r="F396" s="9"/>
      <c r="G396" s="9"/>
      <c r="H396" s="9" t="s">
        <v>83</v>
      </c>
      <c r="I396" s="9"/>
      <c r="J396" s="9"/>
      <c r="K396" s="9"/>
      <c r="L396" s="9"/>
    </row>
    <row r="397" customFormat="false" ht="13.5" hidden="false" customHeight="false" outlineLevel="0" collapsed="false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</row>
    <row r="398" customFormat="false" ht="13.5" hidden="false" customHeight="false" outlineLevel="0" collapsed="false">
      <c r="A398" s="25" t="str">
        <f aca="false">Student_Matrikelnummer</f>
        <v>3399727</v>
      </c>
      <c r="B398" s="25"/>
      <c r="C398" s="25"/>
      <c r="D398" s="25"/>
      <c r="E398" s="25"/>
      <c r="F398" s="25"/>
      <c r="G398" s="10"/>
      <c r="H398" s="25" t="str">
        <f aca="false">Ausbildungsbetrieb_Telefon</f>
        <v>⟨Telefon Betreuer⟩</v>
      </c>
      <c r="I398" s="10"/>
      <c r="J398" s="10"/>
      <c r="K398" s="10"/>
      <c r="L398" s="10"/>
    </row>
    <row r="399" customFormat="false" ht="13.5" hidden="false" customHeight="false" outlineLevel="0" collapsed="false">
      <c r="A399" s="9" t="s">
        <v>42</v>
      </c>
      <c r="B399" s="9"/>
      <c r="C399" s="9"/>
      <c r="D399" s="9"/>
      <c r="E399" s="9"/>
      <c r="F399" s="9"/>
      <c r="G399" s="9"/>
      <c r="H399" s="9" t="s">
        <v>84</v>
      </c>
      <c r="I399" s="9"/>
      <c r="J399" s="9"/>
      <c r="K399" s="9"/>
      <c r="L399" s="9"/>
    </row>
    <row r="400" customFormat="false" ht="14.25" hidden="false" customHeight="true" outlineLevel="0" collapsed="false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</row>
    <row r="401" customFormat="false" ht="13.5" hidden="false" customHeight="false" outlineLevel="0" collapsed="false">
      <c r="A401" s="27"/>
      <c r="B401" s="28"/>
      <c r="C401" s="28"/>
      <c r="D401" s="28"/>
      <c r="E401" s="28" t="s">
        <v>85</v>
      </c>
      <c r="F401" s="28"/>
      <c r="G401" s="28"/>
      <c r="H401" s="29" t="s">
        <v>86</v>
      </c>
      <c r="I401" s="30"/>
      <c r="J401" s="30"/>
      <c r="K401" s="30"/>
      <c r="L401" s="30"/>
    </row>
    <row r="402" customFormat="false" ht="14.25" hidden="false" customHeight="true" outlineLevel="0" collapsed="false">
      <c r="A402" s="31" t="s">
        <v>87</v>
      </c>
      <c r="B402" s="31"/>
      <c r="C402" s="32" t="s">
        <v>88</v>
      </c>
      <c r="D402" s="32"/>
      <c r="E402" s="33" t="s">
        <v>89</v>
      </c>
      <c r="F402" s="33"/>
      <c r="G402" s="33"/>
      <c r="H402" s="34" t="s">
        <v>90</v>
      </c>
      <c r="I402" s="30"/>
      <c r="J402" s="30"/>
      <c r="K402" s="30"/>
      <c r="L402" s="30"/>
    </row>
    <row r="403" customFormat="false" ht="13.8" hidden="false" customHeight="false" outlineLevel="0" collapsed="false">
      <c r="A403" s="81" t="n">
        <f aca="false">A387+1</f>
        <v>252</v>
      </c>
      <c r="B403" s="78" t="str">
        <f aca="false">IF(WEEKDAY(C403,2)=1,"Mo",IF(WEEKDAY(C403,2)=2,"Di",IF(WEEKDAY(C403,2)=3,"Mi",IF(WEEKDAY(C403,2)=4,"Do.",IF(WEEKDAY(C403,2)=5,"Fr.",IF(WEEKDAY(C403,2)=6,"Sa.","So"))))))</f>
        <v>Mo</v>
      </c>
      <c r="C403" s="82" t="n">
        <f aca="false">C387+1</f>
        <v>46335</v>
      </c>
      <c r="D403" s="83"/>
      <c r="E403" s="84"/>
      <c r="F403" s="78" t="s">
        <v>92</v>
      </c>
      <c r="G403" s="41"/>
      <c r="H403" s="85"/>
      <c r="I403" s="86"/>
      <c r="J403" s="86"/>
      <c r="K403" s="86"/>
      <c r="L403" s="86"/>
    </row>
    <row r="404" customFormat="false" ht="13.8" hidden="false" customHeight="false" outlineLevel="0" collapsed="false">
      <c r="A404" s="87" t="n">
        <f aca="false">A403+1</f>
        <v>253</v>
      </c>
      <c r="B404" s="76" t="str">
        <f aca="false">IF(WEEKDAY(C404,2)=1,"Mo",IF(WEEKDAY(C404,2)=2,"Di",IF(WEEKDAY(C404,2)=3,"Mi",IF(WEEKDAY(C404,2)=4,"Do.",IF(WEEKDAY(C404,2)=5,"Fr.",IF(WEEKDAY(C404,2)=6,"Sa.","So"))))))</f>
        <v>Di</v>
      </c>
      <c r="C404" s="88" t="n">
        <f aca="false">C403+1</f>
        <v>46336</v>
      </c>
      <c r="D404" s="89"/>
      <c r="E404" s="90"/>
      <c r="F404" s="76" t="s">
        <v>92</v>
      </c>
      <c r="G404" s="51"/>
      <c r="H404" s="91"/>
      <c r="I404" s="86"/>
      <c r="J404" s="86"/>
      <c r="K404" s="86"/>
      <c r="L404" s="86"/>
    </row>
    <row r="405" customFormat="false" ht="13.8" hidden="false" customHeight="false" outlineLevel="0" collapsed="false">
      <c r="A405" s="87" t="n">
        <f aca="false">A404+1</f>
        <v>254</v>
      </c>
      <c r="B405" s="76" t="str">
        <f aca="false">IF(WEEKDAY(C405,2)=1,"Mo",IF(WEEKDAY(C405,2)=2,"Di",IF(WEEKDAY(C405,2)=3,"Mi",IF(WEEKDAY(C405,2)=4,"Do.",IF(WEEKDAY(C405,2)=5,"Fr.",IF(WEEKDAY(C405,2)=6,"Sa.","So"))))))</f>
        <v>Mi</v>
      </c>
      <c r="C405" s="88" t="n">
        <f aca="false">C404+1</f>
        <v>46337</v>
      </c>
      <c r="D405" s="89"/>
      <c r="E405" s="90"/>
      <c r="F405" s="76" t="s">
        <v>92</v>
      </c>
      <c r="G405" s="51"/>
      <c r="H405" s="91"/>
      <c r="I405" s="86"/>
      <c r="J405" s="86"/>
      <c r="K405" s="86"/>
      <c r="L405" s="86"/>
    </row>
    <row r="406" customFormat="false" ht="13.8" hidden="false" customHeight="false" outlineLevel="0" collapsed="false">
      <c r="A406" s="87" t="n">
        <f aca="false">A405+1</f>
        <v>255</v>
      </c>
      <c r="B406" s="76" t="str">
        <f aca="false">IF(WEEKDAY(C406,2)=1,"Mo",IF(WEEKDAY(C406,2)=2,"Di",IF(WEEKDAY(C406,2)=3,"Mi",IF(WEEKDAY(C406,2)=4,"Do.",IF(WEEKDAY(C406,2)=5,"Fr.",IF(WEEKDAY(C406,2)=6,"Sa.","So"))))))</f>
        <v>Do.</v>
      </c>
      <c r="C406" s="88" t="n">
        <f aca="false">C405+1</f>
        <v>46338</v>
      </c>
      <c r="D406" s="89"/>
      <c r="E406" s="90"/>
      <c r="F406" s="76" t="s">
        <v>92</v>
      </c>
      <c r="G406" s="51"/>
      <c r="H406" s="91"/>
      <c r="I406" s="86"/>
      <c r="J406" s="86"/>
      <c r="K406" s="86"/>
      <c r="L406" s="86"/>
    </row>
    <row r="407" customFormat="false" ht="13.8" hidden="false" customHeight="false" outlineLevel="0" collapsed="false">
      <c r="A407" s="87" t="n">
        <f aca="false">A406+1</f>
        <v>256</v>
      </c>
      <c r="B407" s="76" t="str">
        <f aca="false">IF(WEEKDAY(C407,2)=1,"Mo",IF(WEEKDAY(C407,2)=2,"Di",IF(WEEKDAY(C407,2)=3,"Mi",IF(WEEKDAY(C407,2)=4,"Do.",IF(WEEKDAY(C407,2)=5,"Fr.",IF(WEEKDAY(C407,2)=6,"Sa.","So"))))))</f>
        <v>Fr.</v>
      </c>
      <c r="C407" s="88" t="n">
        <f aca="false">C406+1</f>
        <v>46339</v>
      </c>
      <c r="D407" s="89"/>
      <c r="E407" s="90"/>
      <c r="F407" s="76" t="s">
        <v>92</v>
      </c>
      <c r="G407" s="51"/>
      <c r="H407" s="91"/>
      <c r="I407" s="86"/>
      <c r="J407" s="86"/>
      <c r="K407" s="86"/>
      <c r="L407" s="86"/>
    </row>
    <row r="408" customFormat="false" ht="13.8" hidden="false" customHeight="false" outlineLevel="0" collapsed="false">
      <c r="A408" s="87" t="n">
        <f aca="false">A407+1</f>
        <v>257</v>
      </c>
      <c r="B408" s="76" t="str">
        <f aca="false">IF(WEEKDAY(C408,2)=1,"Mo",IF(WEEKDAY(C408,2)=2,"Di",IF(WEEKDAY(C408,2)=3,"Mi",IF(WEEKDAY(C408,2)=4,"Do.",IF(WEEKDAY(C408,2)=5,"Fr.",IF(WEEKDAY(C408,2)=6,"Sa.","So"))))))</f>
        <v>Sa.</v>
      </c>
      <c r="C408" s="88" t="n">
        <f aca="false">C407+1</f>
        <v>46340</v>
      </c>
      <c r="D408" s="89"/>
      <c r="E408" s="90"/>
      <c r="F408" s="76" t="s">
        <v>92</v>
      </c>
      <c r="G408" s="51"/>
      <c r="H408" s="91"/>
      <c r="I408" s="86"/>
      <c r="J408" s="86"/>
      <c r="K408" s="86"/>
      <c r="L408" s="86"/>
    </row>
    <row r="409" customFormat="false" ht="13.8" hidden="false" customHeight="false" outlineLevel="0" collapsed="false">
      <c r="A409" s="87" t="n">
        <f aca="false">A408+1</f>
        <v>258</v>
      </c>
      <c r="B409" s="76" t="str">
        <f aca="false">IF(WEEKDAY(C409,2)=1,"Mo",IF(WEEKDAY(C409,2)=2,"Di",IF(WEEKDAY(C409,2)=3,"Mi",IF(WEEKDAY(C409,2)=4,"Do.",IF(WEEKDAY(C409,2)=5,"Fr.",IF(WEEKDAY(C409,2)=6,"Sa.","So"))))))</f>
        <v>So</v>
      </c>
      <c r="C409" s="88" t="n">
        <f aca="false">C408+1</f>
        <v>46341</v>
      </c>
      <c r="D409" s="89"/>
      <c r="E409" s="90"/>
      <c r="F409" s="76" t="s">
        <v>92</v>
      </c>
      <c r="G409" s="51"/>
      <c r="H409" s="91"/>
      <c r="I409" s="86"/>
      <c r="J409" s="86"/>
      <c r="K409" s="86"/>
      <c r="L409" s="86"/>
    </row>
    <row r="410" customFormat="false" ht="13.8" hidden="false" customHeight="false" outlineLevel="0" collapsed="false">
      <c r="A410" s="87" t="n">
        <f aca="false">A409+1</f>
        <v>259</v>
      </c>
      <c r="B410" s="76" t="str">
        <f aca="false">IF(WEEKDAY(C410,2)=1,"Mo",IF(WEEKDAY(C410,2)=2,"Di",IF(WEEKDAY(C410,2)=3,"Mi",IF(WEEKDAY(C410,2)=4,"Do.",IF(WEEKDAY(C410,2)=5,"Fr.",IF(WEEKDAY(C410,2)=6,"Sa.","So"))))))</f>
        <v>Mo</v>
      </c>
      <c r="C410" s="88" t="n">
        <f aca="false">C409+1</f>
        <v>46342</v>
      </c>
      <c r="D410" s="89"/>
      <c r="E410" s="90"/>
      <c r="F410" s="76" t="s">
        <v>92</v>
      </c>
      <c r="G410" s="51"/>
      <c r="H410" s="91"/>
      <c r="I410" s="86"/>
      <c r="J410" s="86"/>
      <c r="K410" s="86"/>
      <c r="L410" s="86"/>
    </row>
    <row r="411" customFormat="false" ht="13.8" hidden="false" customHeight="false" outlineLevel="0" collapsed="false">
      <c r="A411" s="87" t="n">
        <f aca="false">A410+1</f>
        <v>260</v>
      </c>
      <c r="B411" s="76" t="str">
        <f aca="false">IF(WEEKDAY(C411,2)=1,"Mo",IF(WEEKDAY(C411,2)=2,"Di",IF(WEEKDAY(C411,2)=3,"Mi",IF(WEEKDAY(C411,2)=4,"Do.",IF(WEEKDAY(C411,2)=5,"Fr.",IF(WEEKDAY(C411,2)=6,"Sa.","So"))))))</f>
        <v>Di</v>
      </c>
      <c r="C411" s="88" t="n">
        <f aca="false">C410+1</f>
        <v>46343</v>
      </c>
      <c r="D411" s="89"/>
      <c r="E411" s="90"/>
      <c r="F411" s="76" t="s">
        <v>92</v>
      </c>
      <c r="G411" s="51"/>
      <c r="H411" s="91"/>
      <c r="I411" s="86"/>
      <c r="J411" s="86"/>
      <c r="K411" s="86"/>
      <c r="L411" s="86"/>
    </row>
    <row r="412" customFormat="false" ht="13.8" hidden="false" customHeight="false" outlineLevel="0" collapsed="false">
      <c r="A412" s="87" t="n">
        <f aca="false">A411+1</f>
        <v>261</v>
      </c>
      <c r="B412" s="76" t="str">
        <f aca="false">IF(WEEKDAY(C412,2)=1,"Mo",IF(WEEKDAY(C412,2)=2,"Di",IF(WEEKDAY(C412,2)=3,"Mi",IF(WEEKDAY(C412,2)=4,"Do.",IF(WEEKDAY(C412,2)=5,"Fr.",IF(WEEKDAY(C412,2)=6,"Sa.","So"))))))</f>
        <v>Mi</v>
      </c>
      <c r="C412" s="88" t="n">
        <f aca="false">C411+1</f>
        <v>46344</v>
      </c>
      <c r="D412" s="89"/>
      <c r="E412" s="90"/>
      <c r="F412" s="76" t="s">
        <v>92</v>
      </c>
      <c r="G412" s="51"/>
      <c r="H412" s="91"/>
      <c r="I412" s="86"/>
      <c r="J412" s="86"/>
      <c r="K412" s="86"/>
      <c r="L412" s="86"/>
    </row>
    <row r="413" customFormat="false" ht="13.8" hidden="false" customHeight="false" outlineLevel="0" collapsed="false">
      <c r="A413" s="87" t="n">
        <f aca="false">A412+1</f>
        <v>262</v>
      </c>
      <c r="B413" s="76" t="str">
        <f aca="false">IF(WEEKDAY(C413,2)=1,"Mo",IF(WEEKDAY(C413,2)=2,"Di",IF(WEEKDAY(C413,2)=3,"Mi",IF(WEEKDAY(C413,2)=4,"Do.",IF(WEEKDAY(C413,2)=5,"Fr.",IF(WEEKDAY(C413,2)=6,"Sa.","So"))))))</f>
        <v>Do.</v>
      </c>
      <c r="C413" s="88" t="n">
        <f aca="false">C412+1</f>
        <v>46345</v>
      </c>
      <c r="D413" s="89"/>
      <c r="E413" s="90"/>
      <c r="F413" s="76" t="s">
        <v>92</v>
      </c>
      <c r="G413" s="51"/>
      <c r="H413" s="91"/>
      <c r="I413" s="86"/>
      <c r="J413" s="86"/>
      <c r="K413" s="86"/>
      <c r="L413" s="86"/>
    </row>
    <row r="414" customFormat="false" ht="13.8" hidden="false" customHeight="false" outlineLevel="0" collapsed="false">
      <c r="A414" s="87" t="n">
        <f aca="false">A413+1</f>
        <v>263</v>
      </c>
      <c r="B414" s="76" t="str">
        <f aca="false">IF(WEEKDAY(C414,2)=1,"Mo",IF(WEEKDAY(C414,2)=2,"Di",IF(WEEKDAY(C414,2)=3,"Mi",IF(WEEKDAY(C414,2)=4,"Do.",IF(WEEKDAY(C414,2)=5,"Fr.",IF(WEEKDAY(C414,2)=6,"Sa.","So"))))))</f>
        <v>Fr.</v>
      </c>
      <c r="C414" s="88" t="n">
        <f aca="false">C413+1</f>
        <v>46346</v>
      </c>
      <c r="D414" s="89"/>
      <c r="E414" s="90"/>
      <c r="F414" s="76" t="s">
        <v>92</v>
      </c>
      <c r="G414" s="51"/>
      <c r="H414" s="91"/>
      <c r="I414" s="86"/>
      <c r="J414" s="86"/>
      <c r="K414" s="86"/>
      <c r="L414" s="86"/>
    </row>
    <row r="415" customFormat="false" ht="13.8" hidden="false" customHeight="false" outlineLevel="0" collapsed="false">
      <c r="A415" s="87" t="n">
        <f aca="false">A414+1</f>
        <v>264</v>
      </c>
      <c r="B415" s="76" t="str">
        <f aca="false">IF(WEEKDAY(C415,2)=1,"Mo",IF(WEEKDAY(C415,2)=2,"Di",IF(WEEKDAY(C415,2)=3,"Mi",IF(WEEKDAY(C415,2)=4,"Do.",IF(WEEKDAY(C415,2)=5,"Fr.",IF(WEEKDAY(C415,2)=6,"Sa.","So"))))))</f>
        <v>Sa.</v>
      </c>
      <c r="C415" s="88" t="n">
        <f aca="false">C414+1</f>
        <v>46347</v>
      </c>
      <c r="D415" s="89"/>
      <c r="E415" s="90"/>
      <c r="F415" s="76" t="s">
        <v>92</v>
      </c>
      <c r="G415" s="51"/>
      <c r="H415" s="91"/>
      <c r="I415" s="86"/>
      <c r="J415" s="86"/>
      <c r="K415" s="86"/>
      <c r="L415" s="86"/>
    </row>
    <row r="416" customFormat="false" ht="13.8" hidden="false" customHeight="false" outlineLevel="0" collapsed="false">
      <c r="A416" s="87" t="n">
        <f aca="false">A415+1</f>
        <v>265</v>
      </c>
      <c r="B416" s="76" t="str">
        <f aca="false">IF(WEEKDAY(C416,2)=1,"Mo",IF(WEEKDAY(C416,2)=2,"Di",IF(WEEKDAY(C416,2)=3,"Mi",IF(WEEKDAY(C416,2)=4,"Do.",IF(WEEKDAY(C416,2)=5,"Fr.",IF(WEEKDAY(C416,2)=6,"Sa.","So"))))))</f>
        <v>So</v>
      </c>
      <c r="C416" s="88" t="n">
        <f aca="false">C415+1</f>
        <v>46348</v>
      </c>
      <c r="D416" s="89"/>
      <c r="E416" s="90"/>
      <c r="F416" s="76" t="s">
        <v>92</v>
      </c>
      <c r="G416" s="51"/>
      <c r="H416" s="91"/>
      <c r="I416" s="86"/>
      <c r="J416" s="86"/>
      <c r="K416" s="86"/>
      <c r="L416" s="86"/>
    </row>
    <row r="417" customFormat="false" ht="13.8" hidden="false" customHeight="false" outlineLevel="0" collapsed="false">
      <c r="A417" s="87" t="n">
        <f aca="false">A416+1</f>
        <v>266</v>
      </c>
      <c r="B417" s="76" t="str">
        <f aca="false">IF(WEEKDAY(C417,2)=1,"Mo",IF(WEEKDAY(C417,2)=2,"Di",IF(WEEKDAY(C417,2)=3,"Mi",IF(WEEKDAY(C417,2)=4,"Do.",IF(WEEKDAY(C417,2)=5,"Fr.",IF(WEEKDAY(C417,2)=6,"Sa.","So"))))))</f>
        <v>Mo</v>
      </c>
      <c r="C417" s="88" t="n">
        <f aca="false">C416+1</f>
        <v>46349</v>
      </c>
      <c r="D417" s="89"/>
      <c r="E417" s="90"/>
      <c r="F417" s="76" t="s">
        <v>92</v>
      </c>
      <c r="G417" s="51"/>
      <c r="H417" s="91"/>
      <c r="I417" s="86"/>
      <c r="J417" s="86"/>
      <c r="K417" s="86"/>
      <c r="L417" s="86"/>
    </row>
    <row r="418" customFormat="false" ht="13.8" hidden="false" customHeight="false" outlineLevel="0" collapsed="false">
      <c r="A418" s="87" t="n">
        <f aca="false">A417+1</f>
        <v>267</v>
      </c>
      <c r="B418" s="76" t="str">
        <f aca="false">IF(WEEKDAY(C418,2)=1,"Mo",IF(WEEKDAY(C418,2)=2,"Di",IF(WEEKDAY(C418,2)=3,"Mi",IF(WEEKDAY(C418,2)=4,"Do.",IF(WEEKDAY(C418,2)=5,"Fr.",IF(WEEKDAY(C418,2)=6,"Sa.","So"))))))</f>
        <v>Di</v>
      </c>
      <c r="C418" s="88" t="n">
        <f aca="false">C417+1</f>
        <v>46350</v>
      </c>
      <c r="D418" s="89"/>
      <c r="E418" s="90"/>
      <c r="F418" s="76" t="s">
        <v>92</v>
      </c>
      <c r="G418" s="51"/>
      <c r="H418" s="91"/>
      <c r="I418" s="86"/>
      <c r="J418" s="86"/>
      <c r="K418" s="86"/>
      <c r="L418" s="86"/>
    </row>
    <row r="419" customFormat="false" ht="13.8" hidden="false" customHeight="false" outlineLevel="0" collapsed="false">
      <c r="A419" s="87" t="n">
        <f aca="false">A418+1</f>
        <v>268</v>
      </c>
      <c r="B419" s="76" t="str">
        <f aca="false">IF(WEEKDAY(C419,2)=1,"Mo",IF(WEEKDAY(C419,2)=2,"Di",IF(WEEKDAY(C419,2)=3,"Mi",IF(WEEKDAY(C419,2)=4,"Do.",IF(WEEKDAY(C419,2)=5,"Fr.",IF(WEEKDAY(C419,2)=6,"Sa.","So"))))))</f>
        <v>Mi</v>
      </c>
      <c r="C419" s="88" t="n">
        <f aca="false">C418+1</f>
        <v>46351</v>
      </c>
      <c r="D419" s="89"/>
      <c r="E419" s="90"/>
      <c r="F419" s="76" t="s">
        <v>92</v>
      </c>
      <c r="G419" s="51"/>
      <c r="H419" s="91"/>
      <c r="I419" s="86"/>
      <c r="J419" s="86"/>
      <c r="K419" s="86"/>
      <c r="L419" s="86"/>
    </row>
    <row r="420" customFormat="false" ht="13.8" hidden="false" customHeight="false" outlineLevel="0" collapsed="false">
      <c r="A420" s="87" t="n">
        <f aca="false">A419+1</f>
        <v>269</v>
      </c>
      <c r="B420" s="76" t="str">
        <f aca="false">IF(WEEKDAY(C420,2)=1,"Mo",IF(WEEKDAY(C420,2)=2,"Di",IF(WEEKDAY(C420,2)=3,"Mi",IF(WEEKDAY(C420,2)=4,"Do.",IF(WEEKDAY(C420,2)=5,"Fr.",IF(WEEKDAY(C420,2)=6,"Sa.","So"))))))</f>
        <v>Do.</v>
      </c>
      <c r="C420" s="88" t="n">
        <f aca="false">C419+1</f>
        <v>46352</v>
      </c>
      <c r="D420" s="89"/>
      <c r="E420" s="90"/>
      <c r="F420" s="76" t="s">
        <v>92</v>
      </c>
      <c r="G420" s="51"/>
      <c r="H420" s="91"/>
      <c r="I420" s="86"/>
      <c r="J420" s="86"/>
      <c r="K420" s="86"/>
      <c r="L420" s="86"/>
    </row>
    <row r="421" customFormat="false" ht="13.8" hidden="false" customHeight="false" outlineLevel="0" collapsed="false">
      <c r="A421" s="87" t="n">
        <f aca="false">A420+1</f>
        <v>270</v>
      </c>
      <c r="B421" s="76" t="str">
        <f aca="false">IF(WEEKDAY(C421,2)=1,"Mo",IF(WEEKDAY(C421,2)=2,"Di",IF(WEEKDAY(C421,2)=3,"Mi",IF(WEEKDAY(C421,2)=4,"Do.",IF(WEEKDAY(C421,2)=5,"Fr.",IF(WEEKDAY(C421,2)=6,"Sa.","So"))))))</f>
        <v>Fr.</v>
      </c>
      <c r="C421" s="88" t="n">
        <f aca="false">C420+1</f>
        <v>46353</v>
      </c>
      <c r="D421" s="89"/>
      <c r="E421" s="90"/>
      <c r="F421" s="76" t="s">
        <v>92</v>
      </c>
      <c r="G421" s="51"/>
      <c r="H421" s="91"/>
      <c r="I421" s="86"/>
      <c r="J421" s="86"/>
      <c r="K421" s="86"/>
      <c r="L421" s="86"/>
    </row>
    <row r="422" customFormat="false" ht="13.8" hidden="false" customHeight="false" outlineLevel="0" collapsed="false">
      <c r="A422" s="87" t="n">
        <f aca="false">A421+1</f>
        <v>271</v>
      </c>
      <c r="B422" s="76" t="str">
        <f aca="false">IF(WEEKDAY(C422,2)=1,"Mo",IF(WEEKDAY(C422,2)=2,"Di",IF(WEEKDAY(C422,2)=3,"Mi",IF(WEEKDAY(C422,2)=4,"Do.",IF(WEEKDAY(C422,2)=5,"Fr.",IF(WEEKDAY(C422,2)=6,"Sa.","So"))))))</f>
        <v>Sa.</v>
      </c>
      <c r="C422" s="88" t="n">
        <f aca="false">C421+1</f>
        <v>46354</v>
      </c>
      <c r="D422" s="89"/>
      <c r="E422" s="90"/>
      <c r="F422" s="76" t="s">
        <v>92</v>
      </c>
      <c r="G422" s="51"/>
      <c r="H422" s="91"/>
      <c r="I422" s="86"/>
      <c r="J422" s="86"/>
      <c r="K422" s="86"/>
      <c r="L422" s="86"/>
    </row>
    <row r="423" customFormat="false" ht="13.8" hidden="false" customHeight="false" outlineLevel="0" collapsed="false">
      <c r="A423" s="87" t="n">
        <f aca="false">A422+1</f>
        <v>272</v>
      </c>
      <c r="B423" s="76" t="str">
        <f aca="false">IF(WEEKDAY(C423,2)=1,"Mo",IF(WEEKDAY(C423,2)=2,"Di",IF(WEEKDAY(C423,2)=3,"Mi",IF(WEEKDAY(C423,2)=4,"Do.",IF(WEEKDAY(C423,2)=5,"Fr.",IF(WEEKDAY(C423,2)=6,"Sa.","So"))))))</f>
        <v>So</v>
      </c>
      <c r="C423" s="88" t="n">
        <f aca="false">C422+1</f>
        <v>46355</v>
      </c>
      <c r="D423" s="89"/>
      <c r="E423" s="90"/>
      <c r="F423" s="76" t="s">
        <v>92</v>
      </c>
      <c r="G423" s="51"/>
      <c r="H423" s="91"/>
      <c r="I423" s="86"/>
      <c r="J423" s="86"/>
      <c r="K423" s="86"/>
      <c r="L423" s="86"/>
    </row>
    <row r="424" customFormat="false" ht="13.8" hidden="false" customHeight="false" outlineLevel="0" collapsed="false">
      <c r="A424" s="87" t="n">
        <f aca="false">A423+1</f>
        <v>273</v>
      </c>
      <c r="B424" s="76" t="str">
        <f aca="false">IF(WEEKDAY(C424,2)=1,"Mo",IF(WEEKDAY(C424,2)=2,"Di",IF(WEEKDAY(C424,2)=3,"Mi",IF(WEEKDAY(C424,2)=4,"Do.",IF(WEEKDAY(C424,2)=5,"Fr.",IF(WEEKDAY(C424,2)=6,"Sa.","So"))))))</f>
        <v>Mo</v>
      </c>
      <c r="C424" s="88" t="n">
        <f aca="false">C423+1</f>
        <v>46356</v>
      </c>
      <c r="D424" s="89"/>
      <c r="E424" s="90"/>
      <c r="F424" s="76" t="s">
        <v>92</v>
      </c>
      <c r="G424" s="51"/>
      <c r="H424" s="91"/>
      <c r="I424" s="86"/>
      <c r="J424" s="86"/>
      <c r="K424" s="86"/>
      <c r="L424" s="86"/>
    </row>
    <row r="425" customFormat="false" ht="13.8" hidden="false" customHeight="false" outlineLevel="0" collapsed="false">
      <c r="A425" s="87" t="n">
        <f aca="false">A424+1</f>
        <v>274</v>
      </c>
      <c r="B425" s="76" t="str">
        <f aca="false">IF(WEEKDAY(C425,2)=1,"Mo",IF(WEEKDAY(C425,2)=2,"Di",IF(WEEKDAY(C425,2)=3,"Mi",IF(WEEKDAY(C425,2)=4,"Do.",IF(WEEKDAY(C425,2)=5,"Fr.",IF(WEEKDAY(C425,2)=6,"Sa.","So"))))))</f>
        <v>Di</v>
      </c>
      <c r="C425" s="88" t="n">
        <f aca="false">C424+1</f>
        <v>46357</v>
      </c>
      <c r="D425" s="89"/>
      <c r="E425" s="90"/>
      <c r="F425" s="76" t="s">
        <v>92</v>
      </c>
      <c r="G425" s="51"/>
      <c r="H425" s="91"/>
      <c r="I425" s="86"/>
      <c r="J425" s="86"/>
      <c r="K425" s="86"/>
      <c r="L425" s="86"/>
    </row>
    <row r="426" customFormat="false" ht="13.8" hidden="false" customHeight="false" outlineLevel="0" collapsed="false">
      <c r="A426" s="87" t="n">
        <f aca="false">A425+1</f>
        <v>275</v>
      </c>
      <c r="B426" s="76" t="str">
        <f aca="false">IF(WEEKDAY(C426,2)=1,"Mo",IF(WEEKDAY(C426,2)=2,"Di",IF(WEEKDAY(C426,2)=3,"Mi",IF(WEEKDAY(C426,2)=4,"Do.",IF(WEEKDAY(C426,2)=5,"Fr.",IF(WEEKDAY(C426,2)=6,"Sa.","So"))))))</f>
        <v>Mi</v>
      </c>
      <c r="C426" s="88" t="n">
        <f aca="false">C425+1</f>
        <v>46358</v>
      </c>
      <c r="D426" s="89"/>
      <c r="E426" s="90"/>
      <c r="F426" s="76" t="s">
        <v>92</v>
      </c>
      <c r="G426" s="51"/>
      <c r="H426" s="91"/>
      <c r="I426" s="86"/>
      <c r="J426" s="86"/>
      <c r="K426" s="86"/>
      <c r="L426" s="86"/>
    </row>
    <row r="427" customFormat="false" ht="13.8" hidden="false" customHeight="false" outlineLevel="0" collapsed="false">
      <c r="A427" s="87" t="n">
        <f aca="false">A426+1</f>
        <v>276</v>
      </c>
      <c r="B427" s="76" t="str">
        <f aca="false">IF(WEEKDAY(C427,2)=1,"Mo",IF(WEEKDAY(C427,2)=2,"Di",IF(WEEKDAY(C427,2)=3,"Mi",IF(WEEKDAY(C427,2)=4,"Do.",IF(WEEKDAY(C427,2)=5,"Fr.",IF(WEEKDAY(C427,2)=6,"Sa.","So"))))))</f>
        <v>Do.</v>
      </c>
      <c r="C427" s="88" t="n">
        <f aca="false">C426+1</f>
        <v>46359</v>
      </c>
      <c r="D427" s="89"/>
      <c r="E427" s="90"/>
      <c r="F427" s="76" t="s">
        <v>92</v>
      </c>
      <c r="G427" s="51"/>
      <c r="H427" s="91"/>
      <c r="I427" s="86"/>
      <c r="J427" s="86"/>
      <c r="K427" s="86"/>
      <c r="L427" s="86"/>
    </row>
    <row r="428" customFormat="false" ht="13.8" hidden="false" customHeight="false" outlineLevel="0" collapsed="false">
      <c r="A428" s="87" t="n">
        <f aca="false">A427+1</f>
        <v>277</v>
      </c>
      <c r="B428" s="76" t="str">
        <f aca="false">IF(WEEKDAY(C428,2)=1,"Mo",IF(WEEKDAY(C428,2)=2,"Di",IF(WEEKDAY(C428,2)=3,"Mi",IF(WEEKDAY(C428,2)=4,"Do.",IF(WEEKDAY(C428,2)=5,"Fr.",IF(WEEKDAY(C428,2)=6,"Sa.","So"))))))</f>
        <v>Fr.</v>
      </c>
      <c r="C428" s="88" t="n">
        <f aca="false">C427+1</f>
        <v>46360</v>
      </c>
      <c r="D428" s="89"/>
      <c r="E428" s="90"/>
      <c r="F428" s="76" t="s">
        <v>92</v>
      </c>
      <c r="G428" s="51"/>
      <c r="H428" s="91"/>
      <c r="I428" s="86"/>
      <c r="J428" s="86"/>
      <c r="K428" s="86"/>
      <c r="L428" s="86"/>
    </row>
    <row r="429" customFormat="false" ht="13.8" hidden="false" customHeight="false" outlineLevel="0" collapsed="false">
      <c r="A429" s="87" t="n">
        <f aca="false">A428+1</f>
        <v>278</v>
      </c>
      <c r="B429" s="76" t="str">
        <f aca="false">IF(WEEKDAY(C429,2)=1,"Mo",IF(WEEKDAY(C429,2)=2,"Di",IF(WEEKDAY(C429,2)=3,"Mi",IF(WEEKDAY(C429,2)=4,"Do.",IF(WEEKDAY(C429,2)=5,"Fr.",IF(WEEKDAY(C429,2)=6,"Sa.","So"))))))</f>
        <v>Sa.</v>
      </c>
      <c r="C429" s="88" t="n">
        <f aca="false">C428+1</f>
        <v>46361</v>
      </c>
      <c r="D429" s="89"/>
      <c r="E429" s="90"/>
      <c r="F429" s="76" t="s">
        <v>92</v>
      </c>
      <c r="G429" s="51"/>
      <c r="H429" s="91"/>
      <c r="I429" s="86"/>
      <c r="J429" s="86"/>
      <c r="K429" s="86"/>
      <c r="L429" s="86"/>
    </row>
    <row r="430" customFormat="false" ht="14.25" hidden="false" customHeight="true" outlineLevel="0" collapsed="false">
      <c r="A430" s="92" t="n">
        <f aca="false">A429+1</f>
        <v>279</v>
      </c>
      <c r="B430" s="77" t="str">
        <f aca="false">IF(WEEKDAY(C430,2)=1,"Mo",IF(WEEKDAY(C430,2)=2,"Di",IF(WEEKDAY(C430,2)=3,"Mi",IF(WEEKDAY(C430,2)=4,"Do.",IF(WEEKDAY(C430,2)=5,"Fr.",IF(WEEKDAY(C430,2)=6,"Sa.","So"))))))</f>
        <v>So</v>
      </c>
      <c r="C430" s="93" t="n">
        <f aca="false">C429+1</f>
        <v>46362</v>
      </c>
      <c r="D430" s="94"/>
      <c r="E430" s="95"/>
      <c r="F430" s="77" t="s">
        <v>92</v>
      </c>
      <c r="G430" s="61"/>
      <c r="H430" s="96"/>
      <c r="I430" s="86"/>
      <c r="J430" s="86"/>
      <c r="K430" s="86"/>
      <c r="L430" s="86"/>
      <c r="N430" s="63"/>
      <c r="O430" s="64" t="s">
        <v>212</v>
      </c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</row>
    <row r="431" customFormat="false" ht="13.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N431" s="65"/>
      <c r="O431" s="1" t="s">
        <v>117</v>
      </c>
    </row>
    <row r="432" customFormat="false" ht="13.5" hidden="false" customHeight="false" outlineLevel="0" collapsed="false">
      <c r="A432" s="25" t="str">
        <f aca="false">Student_Name</f>
        <v>Hassine</v>
      </c>
      <c r="B432" s="25"/>
      <c r="C432" s="25"/>
      <c r="D432" s="25"/>
      <c r="E432" s="25"/>
      <c r="F432" s="25"/>
      <c r="G432" s="10"/>
      <c r="H432" s="25" t="str">
        <f aca="false">Ausbildungsbetrieb_Unternehmen</f>
        <v>Mechanische Werkstätte Schmidt e.K.</v>
      </c>
      <c r="I432" s="10"/>
      <c r="J432" s="10"/>
      <c r="K432" s="10"/>
      <c r="L432" s="10"/>
    </row>
    <row r="433" customFormat="false" ht="13.5" hidden="false" customHeight="false" outlineLevel="0" collapsed="false">
      <c r="A433" s="9" t="s">
        <v>31</v>
      </c>
      <c r="B433" s="9"/>
      <c r="C433" s="9"/>
      <c r="D433" s="9"/>
      <c r="E433" s="9"/>
      <c r="F433" s="9"/>
      <c r="G433" s="9"/>
      <c r="H433" s="9" t="s">
        <v>32</v>
      </c>
      <c r="I433" s="9"/>
      <c r="J433" s="9"/>
      <c r="K433" s="9"/>
      <c r="L433" s="9"/>
    </row>
    <row r="434" customFormat="false" ht="13.5" hidden="false" customHeight="false" outlineLevel="0" collapsed="false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</row>
    <row r="435" customFormat="false" ht="13.5" hidden="false" customHeight="false" outlineLevel="0" collapsed="false">
      <c r="A435" s="25" t="str">
        <f aca="false">Student_Vorname</f>
        <v>Houcine</v>
      </c>
      <c r="B435" s="25"/>
      <c r="C435" s="25"/>
      <c r="D435" s="25"/>
      <c r="E435" s="25"/>
      <c r="F435" s="25"/>
      <c r="G435" s="10"/>
      <c r="H435" s="25" t="str">
        <f aca="false">CONCATENATE(Ausbildungsbetrieb_Vorname, " ", Ausbildungsbetrieb_Name)</f>
        <v>Amine Halloul</v>
      </c>
      <c r="I435" s="10"/>
      <c r="J435" s="10"/>
      <c r="K435" s="10"/>
      <c r="L435" s="10"/>
    </row>
    <row r="436" customFormat="false" ht="13.5" hidden="false" customHeight="false" outlineLevel="0" collapsed="false">
      <c r="A436" s="9" t="s">
        <v>34</v>
      </c>
      <c r="B436" s="9"/>
      <c r="C436" s="9"/>
      <c r="D436" s="9"/>
      <c r="E436" s="9"/>
      <c r="F436" s="9"/>
      <c r="G436" s="9"/>
      <c r="H436" s="9" t="s">
        <v>82</v>
      </c>
      <c r="I436" s="9"/>
      <c r="J436" s="9"/>
      <c r="K436" s="9"/>
      <c r="L436" s="9"/>
    </row>
    <row r="437" customFormat="false" ht="13.5" hidden="false" customHeight="false" outlineLevel="0" collapsed="false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</row>
    <row r="438" customFormat="false" ht="13.5" hidden="false" customHeight="false" outlineLevel="0" collapsed="false">
      <c r="A438" s="25" t="str">
        <f aca="false">Student_Studiengruppe</f>
        <v>PA6</v>
      </c>
      <c r="B438" s="25"/>
      <c r="C438" s="25"/>
      <c r="D438" s="25"/>
      <c r="E438" s="25"/>
      <c r="F438" s="25"/>
      <c r="G438" s="10"/>
      <c r="H438" s="25" t="str">
        <f aca="false">Ausbildungsbetrieb_Email</f>
        <v>⟨E-Mail Betreuer⟩</v>
      </c>
      <c r="I438" s="10"/>
      <c r="J438" s="10"/>
      <c r="K438" s="10"/>
      <c r="L438" s="10"/>
    </row>
    <row r="439" customFormat="false" ht="13.5" hidden="false" customHeight="false" outlineLevel="0" collapsed="false">
      <c r="A439" s="9" t="s">
        <v>38</v>
      </c>
      <c r="B439" s="9"/>
      <c r="C439" s="9"/>
      <c r="D439" s="9"/>
      <c r="E439" s="9"/>
      <c r="F439" s="9"/>
      <c r="G439" s="9"/>
      <c r="H439" s="9" t="s">
        <v>83</v>
      </c>
      <c r="I439" s="9"/>
      <c r="J439" s="9"/>
      <c r="K439" s="9"/>
      <c r="L439" s="9"/>
    </row>
    <row r="440" customFormat="false" ht="13.5" hidden="false" customHeight="false" outlineLevel="0" collapsed="false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</row>
    <row r="441" customFormat="false" ht="13.5" hidden="false" customHeight="false" outlineLevel="0" collapsed="false">
      <c r="A441" s="25" t="str">
        <f aca="false">Student_Matrikelnummer</f>
        <v>3399727</v>
      </c>
      <c r="B441" s="25"/>
      <c r="C441" s="25"/>
      <c r="D441" s="25"/>
      <c r="E441" s="25"/>
      <c r="F441" s="25"/>
      <c r="G441" s="10"/>
      <c r="H441" s="25" t="str">
        <f aca="false">Ausbildungsbetrieb_Telefon</f>
        <v>⟨Telefon Betreuer⟩</v>
      </c>
      <c r="I441" s="10"/>
      <c r="J441" s="10"/>
      <c r="K441" s="10"/>
      <c r="L441" s="10"/>
    </row>
    <row r="442" customFormat="false" ht="13.5" hidden="false" customHeight="false" outlineLevel="0" collapsed="false">
      <c r="A442" s="9" t="s">
        <v>42</v>
      </c>
      <c r="B442" s="9"/>
      <c r="C442" s="9"/>
      <c r="D442" s="9"/>
      <c r="E442" s="9"/>
      <c r="F442" s="9"/>
      <c r="G442" s="9"/>
      <c r="H442" s="9" t="s">
        <v>84</v>
      </c>
      <c r="I442" s="9"/>
      <c r="J442" s="9"/>
      <c r="K442" s="9"/>
      <c r="L442" s="9"/>
    </row>
    <row r="443" customFormat="false" ht="14.25" hidden="false" customHeight="true" outlineLevel="0" collapsed="false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</row>
    <row r="444" customFormat="false" ht="13.5" hidden="false" customHeight="false" outlineLevel="0" collapsed="false">
      <c r="A444" s="27"/>
      <c r="B444" s="28"/>
      <c r="C444" s="28"/>
      <c r="D444" s="28"/>
      <c r="E444" s="28" t="s">
        <v>85</v>
      </c>
      <c r="F444" s="28"/>
      <c r="G444" s="28"/>
      <c r="H444" s="29" t="s">
        <v>86</v>
      </c>
      <c r="I444" s="30"/>
      <c r="J444" s="30"/>
      <c r="K444" s="30"/>
      <c r="L444" s="30"/>
    </row>
    <row r="445" customFormat="false" ht="14.25" hidden="false" customHeight="true" outlineLevel="0" collapsed="false">
      <c r="A445" s="31" t="s">
        <v>87</v>
      </c>
      <c r="B445" s="31"/>
      <c r="C445" s="32" t="s">
        <v>88</v>
      </c>
      <c r="D445" s="32"/>
      <c r="E445" s="33" t="s">
        <v>89</v>
      </c>
      <c r="F445" s="33"/>
      <c r="G445" s="33"/>
      <c r="H445" s="34" t="s">
        <v>90</v>
      </c>
      <c r="I445" s="30"/>
      <c r="J445" s="30"/>
      <c r="K445" s="30"/>
      <c r="L445" s="30"/>
    </row>
    <row r="446" customFormat="false" ht="13.8" hidden="false" customHeight="false" outlineLevel="0" collapsed="false">
      <c r="A446" s="81" t="n">
        <f aca="false">A430+1</f>
        <v>280</v>
      </c>
      <c r="B446" s="78" t="str">
        <f aca="false">IF(WEEKDAY(C446,2)=1,"Mo",IF(WEEKDAY(C446,2)=2,"Di",IF(WEEKDAY(C446,2)=3,"Mi",IF(WEEKDAY(C446,2)=4,"Do.",IF(WEEKDAY(C446,2)=5,"Fr.",IF(WEEKDAY(C446,2)=6,"Sa.","So"))))))</f>
        <v>Mo</v>
      </c>
      <c r="C446" s="82" t="n">
        <f aca="false">C430+1</f>
        <v>46363</v>
      </c>
      <c r="D446" s="83"/>
      <c r="E446" s="84"/>
      <c r="F446" s="78" t="s">
        <v>92</v>
      </c>
      <c r="G446" s="41"/>
      <c r="H446" s="85"/>
      <c r="I446" s="86"/>
      <c r="J446" s="86"/>
      <c r="K446" s="86"/>
      <c r="L446" s="86"/>
    </row>
    <row r="447" customFormat="false" ht="13.8" hidden="false" customHeight="false" outlineLevel="0" collapsed="false">
      <c r="A447" s="87" t="n">
        <f aca="false">A446+1</f>
        <v>281</v>
      </c>
      <c r="B447" s="76" t="str">
        <f aca="false">IF(WEEKDAY(C447,2)=1,"Mo",IF(WEEKDAY(C447,2)=2,"Di",IF(WEEKDAY(C447,2)=3,"Mi",IF(WEEKDAY(C447,2)=4,"Do.",IF(WEEKDAY(C447,2)=5,"Fr.",IF(WEEKDAY(C447,2)=6,"Sa.","So"))))))</f>
        <v>Di</v>
      </c>
      <c r="C447" s="88" t="n">
        <f aca="false">C446+1</f>
        <v>46364</v>
      </c>
      <c r="D447" s="89"/>
      <c r="E447" s="90"/>
      <c r="F447" s="76" t="s">
        <v>92</v>
      </c>
      <c r="G447" s="51"/>
      <c r="H447" s="91"/>
      <c r="I447" s="86"/>
      <c r="J447" s="86"/>
      <c r="K447" s="86"/>
      <c r="L447" s="86"/>
    </row>
    <row r="448" customFormat="false" ht="13.8" hidden="false" customHeight="false" outlineLevel="0" collapsed="false">
      <c r="A448" s="87" t="n">
        <f aca="false">A447+1</f>
        <v>282</v>
      </c>
      <c r="B448" s="76" t="str">
        <f aca="false">IF(WEEKDAY(C448,2)=1,"Mo",IF(WEEKDAY(C448,2)=2,"Di",IF(WEEKDAY(C448,2)=3,"Mi",IF(WEEKDAY(C448,2)=4,"Do.",IF(WEEKDAY(C448,2)=5,"Fr.",IF(WEEKDAY(C448,2)=6,"Sa.","So"))))))</f>
        <v>Mi</v>
      </c>
      <c r="C448" s="88" t="n">
        <f aca="false">C447+1</f>
        <v>46365</v>
      </c>
      <c r="D448" s="89"/>
      <c r="E448" s="90"/>
      <c r="F448" s="76" t="s">
        <v>92</v>
      </c>
      <c r="G448" s="51"/>
      <c r="H448" s="91"/>
      <c r="I448" s="86"/>
      <c r="J448" s="86"/>
      <c r="K448" s="86"/>
      <c r="L448" s="86"/>
    </row>
    <row r="449" customFormat="false" ht="13.8" hidden="false" customHeight="false" outlineLevel="0" collapsed="false">
      <c r="A449" s="87" t="n">
        <f aca="false">A448+1</f>
        <v>283</v>
      </c>
      <c r="B449" s="76" t="str">
        <f aca="false">IF(WEEKDAY(C449,2)=1,"Mo",IF(WEEKDAY(C449,2)=2,"Di",IF(WEEKDAY(C449,2)=3,"Mi",IF(WEEKDAY(C449,2)=4,"Do.",IF(WEEKDAY(C449,2)=5,"Fr.",IF(WEEKDAY(C449,2)=6,"Sa.","So"))))))</f>
        <v>Do.</v>
      </c>
      <c r="C449" s="88" t="n">
        <f aca="false">C448+1</f>
        <v>46366</v>
      </c>
      <c r="D449" s="89"/>
      <c r="E449" s="90"/>
      <c r="F449" s="76" t="s">
        <v>92</v>
      </c>
      <c r="G449" s="51"/>
      <c r="H449" s="91"/>
      <c r="I449" s="86"/>
      <c r="J449" s="86"/>
      <c r="K449" s="86"/>
      <c r="L449" s="86"/>
    </row>
    <row r="450" customFormat="false" ht="13.8" hidden="false" customHeight="false" outlineLevel="0" collapsed="false">
      <c r="A450" s="87" t="n">
        <f aca="false">A449+1</f>
        <v>284</v>
      </c>
      <c r="B450" s="76" t="str">
        <f aca="false">IF(WEEKDAY(C450,2)=1,"Mo",IF(WEEKDAY(C450,2)=2,"Di",IF(WEEKDAY(C450,2)=3,"Mi",IF(WEEKDAY(C450,2)=4,"Do.",IF(WEEKDAY(C450,2)=5,"Fr.",IF(WEEKDAY(C450,2)=6,"Sa.","So"))))))</f>
        <v>Fr.</v>
      </c>
      <c r="C450" s="88" t="n">
        <f aca="false">C449+1</f>
        <v>46367</v>
      </c>
      <c r="D450" s="89"/>
      <c r="E450" s="90"/>
      <c r="F450" s="76" t="s">
        <v>92</v>
      </c>
      <c r="G450" s="51"/>
      <c r="H450" s="91"/>
      <c r="I450" s="86"/>
      <c r="J450" s="86"/>
      <c r="K450" s="86"/>
      <c r="L450" s="86"/>
    </row>
    <row r="451" customFormat="false" ht="13.8" hidden="false" customHeight="false" outlineLevel="0" collapsed="false">
      <c r="A451" s="87" t="n">
        <f aca="false">A450+1</f>
        <v>285</v>
      </c>
      <c r="B451" s="76" t="str">
        <f aca="false">IF(WEEKDAY(C451,2)=1,"Mo",IF(WEEKDAY(C451,2)=2,"Di",IF(WEEKDAY(C451,2)=3,"Mi",IF(WEEKDAY(C451,2)=4,"Do.",IF(WEEKDAY(C451,2)=5,"Fr.",IF(WEEKDAY(C451,2)=6,"Sa.","So"))))))</f>
        <v>Sa.</v>
      </c>
      <c r="C451" s="88" t="n">
        <f aca="false">C450+1</f>
        <v>46368</v>
      </c>
      <c r="D451" s="89"/>
      <c r="E451" s="90"/>
      <c r="F451" s="76" t="s">
        <v>92</v>
      </c>
      <c r="G451" s="51"/>
      <c r="H451" s="91"/>
      <c r="I451" s="86"/>
      <c r="J451" s="86"/>
      <c r="K451" s="86"/>
      <c r="L451" s="86"/>
    </row>
    <row r="452" customFormat="false" ht="13.8" hidden="false" customHeight="false" outlineLevel="0" collapsed="false">
      <c r="A452" s="87" t="n">
        <f aca="false">A451+1</f>
        <v>286</v>
      </c>
      <c r="B452" s="76" t="str">
        <f aca="false">IF(WEEKDAY(C452,2)=1,"Mo",IF(WEEKDAY(C452,2)=2,"Di",IF(WEEKDAY(C452,2)=3,"Mi",IF(WEEKDAY(C452,2)=4,"Do.",IF(WEEKDAY(C452,2)=5,"Fr.",IF(WEEKDAY(C452,2)=6,"Sa.","So"))))))</f>
        <v>So</v>
      </c>
      <c r="C452" s="88" t="n">
        <f aca="false">C451+1</f>
        <v>46369</v>
      </c>
      <c r="D452" s="89"/>
      <c r="E452" s="90"/>
      <c r="F452" s="76" t="s">
        <v>92</v>
      </c>
      <c r="G452" s="51"/>
      <c r="H452" s="91"/>
      <c r="I452" s="86"/>
      <c r="J452" s="86"/>
      <c r="K452" s="86"/>
      <c r="L452" s="86"/>
    </row>
    <row r="453" customFormat="false" ht="13.8" hidden="false" customHeight="false" outlineLevel="0" collapsed="false">
      <c r="A453" s="87" t="n">
        <f aca="false">A452+1</f>
        <v>287</v>
      </c>
      <c r="B453" s="76" t="str">
        <f aca="false">IF(WEEKDAY(C453,2)=1,"Mo",IF(WEEKDAY(C453,2)=2,"Di",IF(WEEKDAY(C453,2)=3,"Mi",IF(WEEKDAY(C453,2)=4,"Do.",IF(WEEKDAY(C453,2)=5,"Fr.",IF(WEEKDAY(C453,2)=6,"Sa.","So"))))))</f>
        <v>Mo</v>
      </c>
      <c r="C453" s="88" t="n">
        <f aca="false">C452+1</f>
        <v>46370</v>
      </c>
      <c r="D453" s="89"/>
      <c r="E453" s="90"/>
      <c r="F453" s="76" t="s">
        <v>92</v>
      </c>
      <c r="G453" s="51"/>
      <c r="H453" s="91"/>
      <c r="I453" s="86"/>
      <c r="J453" s="86"/>
      <c r="K453" s="86"/>
      <c r="L453" s="86"/>
    </row>
    <row r="454" customFormat="false" ht="13.8" hidden="false" customHeight="false" outlineLevel="0" collapsed="false">
      <c r="A454" s="87" t="n">
        <f aca="false">A453+1</f>
        <v>288</v>
      </c>
      <c r="B454" s="76" t="str">
        <f aca="false">IF(WEEKDAY(C454,2)=1,"Mo",IF(WEEKDAY(C454,2)=2,"Di",IF(WEEKDAY(C454,2)=3,"Mi",IF(WEEKDAY(C454,2)=4,"Do.",IF(WEEKDAY(C454,2)=5,"Fr.",IF(WEEKDAY(C454,2)=6,"Sa.","So"))))))</f>
        <v>Di</v>
      </c>
      <c r="C454" s="88" t="n">
        <f aca="false">C453+1</f>
        <v>46371</v>
      </c>
      <c r="D454" s="89"/>
      <c r="E454" s="90"/>
      <c r="F454" s="76" t="s">
        <v>92</v>
      </c>
      <c r="G454" s="51"/>
      <c r="H454" s="91"/>
      <c r="I454" s="86"/>
      <c r="J454" s="86"/>
      <c r="K454" s="86"/>
      <c r="L454" s="86"/>
    </row>
    <row r="455" customFormat="false" ht="13.8" hidden="false" customHeight="false" outlineLevel="0" collapsed="false">
      <c r="A455" s="87" t="n">
        <f aca="false">A454+1</f>
        <v>289</v>
      </c>
      <c r="B455" s="76" t="str">
        <f aca="false">IF(WEEKDAY(C455,2)=1,"Mo",IF(WEEKDAY(C455,2)=2,"Di",IF(WEEKDAY(C455,2)=3,"Mi",IF(WEEKDAY(C455,2)=4,"Do.",IF(WEEKDAY(C455,2)=5,"Fr.",IF(WEEKDAY(C455,2)=6,"Sa.","So"))))))</f>
        <v>Mi</v>
      </c>
      <c r="C455" s="88" t="n">
        <f aca="false">C454+1</f>
        <v>46372</v>
      </c>
      <c r="D455" s="89"/>
      <c r="E455" s="90"/>
      <c r="F455" s="76" t="s">
        <v>92</v>
      </c>
      <c r="G455" s="51"/>
      <c r="H455" s="91"/>
      <c r="I455" s="86"/>
      <c r="J455" s="86"/>
      <c r="K455" s="86"/>
      <c r="L455" s="86"/>
    </row>
    <row r="456" customFormat="false" ht="13.8" hidden="false" customHeight="false" outlineLevel="0" collapsed="false">
      <c r="A456" s="87" t="n">
        <f aca="false">A455+1</f>
        <v>290</v>
      </c>
      <c r="B456" s="76" t="str">
        <f aca="false">IF(WEEKDAY(C456,2)=1,"Mo",IF(WEEKDAY(C456,2)=2,"Di",IF(WEEKDAY(C456,2)=3,"Mi",IF(WEEKDAY(C456,2)=4,"Do.",IF(WEEKDAY(C456,2)=5,"Fr.",IF(WEEKDAY(C456,2)=6,"Sa.","So"))))))</f>
        <v>Do.</v>
      </c>
      <c r="C456" s="88" t="n">
        <f aca="false">C455+1</f>
        <v>46373</v>
      </c>
      <c r="D456" s="89"/>
      <c r="E456" s="90"/>
      <c r="F456" s="76" t="s">
        <v>92</v>
      </c>
      <c r="G456" s="51"/>
      <c r="H456" s="91"/>
      <c r="I456" s="86"/>
      <c r="J456" s="86"/>
      <c r="K456" s="86"/>
      <c r="L456" s="86"/>
    </row>
    <row r="457" customFormat="false" ht="13.8" hidden="false" customHeight="false" outlineLevel="0" collapsed="false">
      <c r="A457" s="87" t="n">
        <f aca="false">A456+1</f>
        <v>291</v>
      </c>
      <c r="B457" s="76" t="str">
        <f aca="false">IF(WEEKDAY(C457,2)=1,"Mo",IF(WEEKDAY(C457,2)=2,"Di",IF(WEEKDAY(C457,2)=3,"Mi",IF(WEEKDAY(C457,2)=4,"Do.",IF(WEEKDAY(C457,2)=5,"Fr.",IF(WEEKDAY(C457,2)=6,"Sa.","So"))))))</f>
        <v>Fr.</v>
      </c>
      <c r="C457" s="88" t="n">
        <f aca="false">C456+1</f>
        <v>46374</v>
      </c>
      <c r="D457" s="89"/>
      <c r="E457" s="90"/>
      <c r="F457" s="76" t="s">
        <v>92</v>
      </c>
      <c r="G457" s="51"/>
      <c r="H457" s="91"/>
      <c r="I457" s="86"/>
      <c r="J457" s="86"/>
      <c r="K457" s="86"/>
      <c r="L457" s="86"/>
    </row>
    <row r="458" customFormat="false" ht="13.8" hidden="false" customHeight="false" outlineLevel="0" collapsed="false">
      <c r="A458" s="87" t="n">
        <f aca="false">A457+1</f>
        <v>292</v>
      </c>
      <c r="B458" s="76" t="str">
        <f aca="false">IF(WEEKDAY(C458,2)=1,"Mo",IF(WEEKDAY(C458,2)=2,"Di",IF(WEEKDAY(C458,2)=3,"Mi",IF(WEEKDAY(C458,2)=4,"Do.",IF(WEEKDAY(C458,2)=5,"Fr.",IF(WEEKDAY(C458,2)=6,"Sa.","So"))))))</f>
        <v>Sa.</v>
      </c>
      <c r="C458" s="88" t="n">
        <f aca="false">C457+1</f>
        <v>46375</v>
      </c>
      <c r="D458" s="89"/>
      <c r="E458" s="90"/>
      <c r="F458" s="76" t="s">
        <v>92</v>
      </c>
      <c r="G458" s="51"/>
      <c r="H458" s="91"/>
      <c r="I458" s="86"/>
      <c r="J458" s="86"/>
      <c r="K458" s="86"/>
      <c r="L458" s="86"/>
    </row>
    <row r="459" customFormat="false" ht="13.8" hidden="false" customHeight="false" outlineLevel="0" collapsed="false">
      <c r="A459" s="87" t="n">
        <f aca="false">A458+1</f>
        <v>293</v>
      </c>
      <c r="B459" s="76" t="str">
        <f aca="false">IF(WEEKDAY(C459,2)=1,"Mo",IF(WEEKDAY(C459,2)=2,"Di",IF(WEEKDAY(C459,2)=3,"Mi",IF(WEEKDAY(C459,2)=4,"Do.",IF(WEEKDAY(C459,2)=5,"Fr.",IF(WEEKDAY(C459,2)=6,"Sa.","So"))))))</f>
        <v>So</v>
      </c>
      <c r="C459" s="88" t="n">
        <f aca="false">C458+1</f>
        <v>46376</v>
      </c>
      <c r="D459" s="89"/>
      <c r="E459" s="90"/>
      <c r="F459" s="76" t="s">
        <v>92</v>
      </c>
      <c r="G459" s="51"/>
      <c r="H459" s="91"/>
      <c r="I459" s="86"/>
      <c r="J459" s="86"/>
      <c r="K459" s="86"/>
      <c r="L459" s="86"/>
    </row>
    <row r="460" customFormat="false" ht="13.8" hidden="false" customHeight="false" outlineLevel="0" collapsed="false">
      <c r="A460" s="87" t="n">
        <f aca="false">A459+1</f>
        <v>294</v>
      </c>
      <c r="B460" s="76" t="str">
        <f aca="false">IF(WEEKDAY(C460,2)=1,"Mo",IF(WEEKDAY(C460,2)=2,"Di",IF(WEEKDAY(C460,2)=3,"Mi",IF(WEEKDAY(C460,2)=4,"Do.",IF(WEEKDAY(C460,2)=5,"Fr.",IF(WEEKDAY(C460,2)=6,"Sa.","So"))))))</f>
        <v>Mo</v>
      </c>
      <c r="C460" s="88" t="n">
        <f aca="false">C459+1</f>
        <v>46377</v>
      </c>
      <c r="D460" s="89"/>
      <c r="E460" s="90"/>
      <c r="F460" s="76" t="s">
        <v>92</v>
      </c>
      <c r="G460" s="51"/>
      <c r="H460" s="91"/>
      <c r="I460" s="86"/>
      <c r="J460" s="86"/>
      <c r="K460" s="86"/>
      <c r="L460" s="86"/>
    </row>
    <row r="461" customFormat="false" ht="13.8" hidden="false" customHeight="false" outlineLevel="0" collapsed="false">
      <c r="A461" s="87" t="n">
        <f aca="false">A460+1</f>
        <v>295</v>
      </c>
      <c r="B461" s="76" t="str">
        <f aca="false">IF(WEEKDAY(C461,2)=1,"Mo",IF(WEEKDAY(C461,2)=2,"Di",IF(WEEKDAY(C461,2)=3,"Mi",IF(WEEKDAY(C461,2)=4,"Do.",IF(WEEKDAY(C461,2)=5,"Fr.",IF(WEEKDAY(C461,2)=6,"Sa.","So"))))))</f>
        <v>Di</v>
      </c>
      <c r="C461" s="88" t="n">
        <f aca="false">C460+1</f>
        <v>46378</v>
      </c>
      <c r="D461" s="89"/>
      <c r="E461" s="90"/>
      <c r="F461" s="76" t="s">
        <v>92</v>
      </c>
      <c r="G461" s="51"/>
      <c r="H461" s="91"/>
      <c r="I461" s="86"/>
      <c r="J461" s="86"/>
      <c r="K461" s="86"/>
      <c r="L461" s="86"/>
    </row>
    <row r="462" customFormat="false" ht="13.8" hidden="false" customHeight="false" outlineLevel="0" collapsed="false">
      <c r="A462" s="87" t="n">
        <f aca="false">A461+1</f>
        <v>296</v>
      </c>
      <c r="B462" s="76" t="str">
        <f aca="false">IF(WEEKDAY(C462,2)=1,"Mo",IF(WEEKDAY(C462,2)=2,"Di",IF(WEEKDAY(C462,2)=3,"Mi",IF(WEEKDAY(C462,2)=4,"Do.",IF(WEEKDAY(C462,2)=5,"Fr.",IF(WEEKDAY(C462,2)=6,"Sa.","So"))))))</f>
        <v>Mi</v>
      </c>
      <c r="C462" s="88" t="n">
        <f aca="false">C461+1</f>
        <v>46379</v>
      </c>
      <c r="D462" s="89"/>
      <c r="E462" s="90"/>
      <c r="F462" s="76" t="s">
        <v>92</v>
      </c>
      <c r="G462" s="51"/>
      <c r="H462" s="91"/>
      <c r="I462" s="86"/>
      <c r="J462" s="86"/>
      <c r="K462" s="86"/>
      <c r="L462" s="86"/>
    </row>
    <row r="463" customFormat="false" ht="13.8" hidden="false" customHeight="false" outlineLevel="0" collapsed="false">
      <c r="A463" s="87" t="n">
        <f aca="false">A462+1</f>
        <v>297</v>
      </c>
      <c r="B463" s="76" t="str">
        <f aca="false">IF(WEEKDAY(C463,2)=1,"Mo",IF(WEEKDAY(C463,2)=2,"Di",IF(WEEKDAY(C463,2)=3,"Mi",IF(WEEKDAY(C463,2)=4,"Do.",IF(WEEKDAY(C463,2)=5,"Fr.",IF(WEEKDAY(C463,2)=6,"Sa.","So"))))))</f>
        <v>Do.</v>
      </c>
      <c r="C463" s="88" t="n">
        <f aca="false">C462+1</f>
        <v>46380</v>
      </c>
      <c r="D463" s="89"/>
      <c r="E463" s="90"/>
      <c r="F463" s="76" t="s">
        <v>92</v>
      </c>
      <c r="G463" s="51"/>
      <c r="H463" s="91"/>
      <c r="I463" s="86"/>
      <c r="J463" s="86"/>
      <c r="K463" s="86"/>
      <c r="L463" s="86"/>
    </row>
    <row r="464" customFormat="false" ht="13.8" hidden="false" customHeight="false" outlineLevel="0" collapsed="false">
      <c r="A464" s="87" t="n">
        <f aca="false">A463+1</f>
        <v>298</v>
      </c>
      <c r="B464" s="76" t="str">
        <f aca="false">IF(WEEKDAY(C464,2)=1,"Mo",IF(WEEKDAY(C464,2)=2,"Di",IF(WEEKDAY(C464,2)=3,"Mi",IF(WEEKDAY(C464,2)=4,"Do.",IF(WEEKDAY(C464,2)=5,"Fr.",IF(WEEKDAY(C464,2)=6,"Sa.","So"))))))</f>
        <v>Fr.</v>
      </c>
      <c r="C464" s="88" t="n">
        <f aca="false">C463+1</f>
        <v>46381</v>
      </c>
      <c r="D464" s="89"/>
      <c r="E464" s="90"/>
      <c r="F464" s="76" t="s">
        <v>92</v>
      </c>
      <c r="G464" s="51"/>
      <c r="H464" s="91"/>
      <c r="I464" s="86"/>
      <c r="J464" s="86"/>
      <c r="K464" s="86"/>
      <c r="L464" s="86"/>
    </row>
    <row r="465" customFormat="false" ht="13.8" hidden="false" customHeight="false" outlineLevel="0" collapsed="false">
      <c r="A465" s="87" t="n">
        <f aca="false">A464+1</f>
        <v>299</v>
      </c>
      <c r="B465" s="76" t="str">
        <f aca="false">IF(WEEKDAY(C465,2)=1,"Mo",IF(WEEKDAY(C465,2)=2,"Di",IF(WEEKDAY(C465,2)=3,"Mi",IF(WEEKDAY(C465,2)=4,"Do.",IF(WEEKDAY(C465,2)=5,"Fr.",IF(WEEKDAY(C465,2)=6,"Sa.","So"))))))</f>
        <v>Sa.</v>
      </c>
      <c r="C465" s="88" t="n">
        <f aca="false">C464+1</f>
        <v>46382</v>
      </c>
      <c r="D465" s="89"/>
      <c r="E465" s="90"/>
      <c r="F465" s="76" t="s">
        <v>92</v>
      </c>
      <c r="G465" s="51"/>
      <c r="H465" s="91"/>
      <c r="I465" s="86"/>
      <c r="J465" s="86"/>
      <c r="K465" s="86"/>
      <c r="L465" s="86"/>
    </row>
    <row r="466" customFormat="false" ht="13.8" hidden="false" customHeight="false" outlineLevel="0" collapsed="false">
      <c r="A466" s="87" t="n">
        <f aca="false">A465+1</f>
        <v>300</v>
      </c>
      <c r="B466" s="76" t="str">
        <f aca="false">IF(WEEKDAY(C466,2)=1,"Mo",IF(WEEKDAY(C466,2)=2,"Di",IF(WEEKDAY(C466,2)=3,"Mi",IF(WEEKDAY(C466,2)=4,"Do.",IF(WEEKDAY(C466,2)=5,"Fr.",IF(WEEKDAY(C466,2)=6,"Sa.","So"))))))</f>
        <v>So</v>
      </c>
      <c r="C466" s="88" t="n">
        <f aca="false">C465+1</f>
        <v>46383</v>
      </c>
      <c r="D466" s="89"/>
      <c r="E466" s="90"/>
      <c r="F466" s="76" t="s">
        <v>92</v>
      </c>
      <c r="G466" s="51"/>
      <c r="H466" s="91"/>
      <c r="I466" s="86"/>
      <c r="J466" s="86"/>
      <c r="K466" s="86"/>
      <c r="L466" s="86"/>
    </row>
    <row r="467" customFormat="false" ht="13.8" hidden="false" customHeight="false" outlineLevel="0" collapsed="false">
      <c r="A467" s="87" t="n">
        <f aca="false">A466+1</f>
        <v>301</v>
      </c>
      <c r="B467" s="76" t="str">
        <f aca="false">IF(WEEKDAY(C467,2)=1,"Mo",IF(WEEKDAY(C467,2)=2,"Di",IF(WEEKDAY(C467,2)=3,"Mi",IF(WEEKDAY(C467,2)=4,"Do.",IF(WEEKDAY(C467,2)=5,"Fr.",IF(WEEKDAY(C467,2)=6,"Sa.","So"))))))</f>
        <v>Mo</v>
      </c>
      <c r="C467" s="88" t="n">
        <f aca="false">C466+1</f>
        <v>46384</v>
      </c>
      <c r="D467" s="89"/>
      <c r="E467" s="90"/>
      <c r="F467" s="76" t="s">
        <v>92</v>
      </c>
      <c r="G467" s="51"/>
      <c r="H467" s="91"/>
      <c r="I467" s="86"/>
      <c r="J467" s="86"/>
      <c r="K467" s="86"/>
      <c r="L467" s="86"/>
    </row>
    <row r="468" customFormat="false" ht="13.8" hidden="false" customHeight="false" outlineLevel="0" collapsed="false">
      <c r="A468" s="87" t="n">
        <f aca="false">A467+1</f>
        <v>302</v>
      </c>
      <c r="B468" s="76" t="str">
        <f aca="false">IF(WEEKDAY(C468,2)=1,"Mo",IF(WEEKDAY(C468,2)=2,"Di",IF(WEEKDAY(C468,2)=3,"Mi",IF(WEEKDAY(C468,2)=4,"Do.",IF(WEEKDAY(C468,2)=5,"Fr.",IF(WEEKDAY(C468,2)=6,"Sa.","So"))))))</f>
        <v>Di</v>
      </c>
      <c r="C468" s="88" t="n">
        <f aca="false">C467+1</f>
        <v>46385</v>
      </c>
      <c r="D468" s="89"/>
      <c r="E468" s="90"/>
      <c r="F468" s="76" t="s">
        <v>92</v>
      </c>
      <c r="G468" s="51"/>
      <c r="H468" s="91"/>
      <c r="I468" s="86"/>
      <c r="J468" s="86"/>
      <c r="K468" s="86"/>
      <c r="L468" s="86"/>
    </row>
    <row r="469" customFormat="false" ht="13.8" hidden="false" customHeight="false" outlineLevel="0" collapsed="false">
      <c r="A469" s="87" t="n">
        <f aca="false">A468+1</f>
        <v>303</v>
      </c>
      <c r="B469" s="76" t="str">
        <f aca="false">IF(WEEKDAY(C469,2)=1,"Mo",IF(WEEKDAY(C469,2)=2,"Di",IF(WEEKDAY(C469,2)=3,"Mi",IF(WEEKDAY(C469,2)=4,"Do.",IF(WEEKDAY(C469,2)=5,"Fr.",IF(WEEKDAY(C469,2)=6,"Sa.","So"))))))</f>
        <v>Mi</v>
      </c>
      <c r="C469" s="88" t="n">
        <f aca="false">C468+1</f>
        <v>46386</v>
      </c>
      <c r="D469" s="89"/>
      <c r="E469" s="90"/>
      <c r="F469" s="76" t="s">
        <v>92</v>
      </c>
      <c r="G469" s="51"/>
      <c r="H469" s="91"/>
      <c r="I469" s="86"/>
      <c r="J469" s="86"/>
      <c r="K469" s="86"/>
      <c r="L469" s="86"/>
    </row>
    <row r="470" customFormat="false" ht="13.8" hidden="false" customHeight="false" outlineLevel="0" collapsed="false">
      <c r="A470" s="87" t="n">
        <f aca="false">A469+1</f>
        <v>304</v>
      </c>
      <c r="B470" s="76" t="str">
        <f aca="false">IF(WEEKDAY(C470,2)=1,"Mo",IF(WEEKDAY(C470,2)=2,"Di",IF(WEEKDAY(C470,2)=3,"Mi",IF(WEEKDAY(C470,2)=4,"Do.",IF(WEEKDAY(C470,2)=5,"Fr.",IF(WEEKDAY(C470,2)=6,"Sa.","So"))))))</f>
        <v>Do.</v>
      </c>
      <c r="C470" s="88" t="n">
        <f aca="false">C469+1</f>
        <v>46387</v>
      </c>
      <c r="D470" s="89"/>
      <c r="E470" s="90"/>
      <c r="F470" s="76" t="s">
        <v>92</v>
      </c>
      <c r="G470" s="51"/>
      <c r="H470" s="91"/>
      <c r="I470" s="86"/>
      <c r="J470" s="86"/>
      <c r="K470" s="86"/>
      <c r="L470" s="86"/>
    </row>
    <row r="471" customFormat="false" ht="13.8" hidden="false" customHeight="false" outlineLevel="0" collapsed="false">
      <c r="A471" s="87" t="n">
        <f aca="false">A470+1</f>
        <v>305</v>
      </c>
      <c r="B471" s="76" t="str">
        <f aca="false">IF(WEEKDAY(C471,2)=1,"Mo",IF(WEEKDAY(C471,2)=2,"Di",IF(WEEKDAY(C471,2)=3,"Mi",IF(WEEKDAY(C471,2)=4,"Do.",IF(WEEKDAY(C471,2)=5,"Fr.",IF(WEEKDAY(C471,2)=6,"Sa.","So"))))))</f>
        <v>Fr.</v>
      </c>
      <c r="C471" s="88" t="n">
        <f aca="false">C470+1</f>
        <v>46388</v>
      </c>
      <c r="D471" s="89"/>
      <c r="E471" s="90"/>
      <c r="F471" s="76" t="s">
        <v>92</v>
      </c>
      <c r="G471" s="51"/>
      <c r="H471" s="91"/>
      <c r="I471" s="86"/>
      <c r="J471" s="86"/>
      <c r="K471" s="86"/>
      <c r="L471" s="86"/>
    </row>
    <row r="472" customFormat="false" ht="13.8" hidden="false" customHeight="false" outlineLevel="0" collapsed="false">
      <c r="A472" s="87" t="n">
        <f aca="false">A471+1</f>
        <v>306</v>
      </c>
      <c r="B472" s="76" t="str">
        <f aca="false">IF(WEEKDAY(C472,2)=1,"Mo",IF(WEEKDAY(C472,2)=2,"Di",IF(WEEKDAY(C472,2)=3,"Mi",IF(WEEKDAY(C472,2)=4,"Do.",IF(WEEKDAY(C472,2)=5,"Fr.",IF(WEEKDAY(C472,2)=6,"Sa.","So"))))))</f>
        <v>Sa.</v>
      </c>
      <c r="C472" s="88" t="n">
        <f aca="false">C471+1</f>
        <v>46389</v>
      </c>
      <c r="D472" s="89"/>
      <c r="E472" s="90"/>
      <c r="F472" s="76" t="s">
        <v>92</v>
      </c>
      <c r="G472" s="51"/>
      <c r="H472" s="91"/>
      <c r="I472" s="86"/>
      <c r="J472" s="86"/>
      <c r="K472" s="86"/>
      <c r="L472" s="86"/>
    </row>
    <row r="473" customFormat="false" ht="14.25" hidden="false" customHeight="true" outlineLevel="0" collapsed="false">
      <c r="A473" s="92" t="n">
        <f aca="false">A472+1</f>
        <v>307</v>
      </c>
      <c r="B473" s="77" t="str">
        <f aca="false">IF(WEEKDAY(C473,2)=1,"Mo",IF(WEEKDAY(C473,2)=2,"Di",IF(WEEKDAY(C473,2)=3,"Mi",IF(WEEKDAY(C473,2)=4,"Do.",IF(WEEKDAY(C473,2)=5,"Fr.",IF(WEEKDAY(C473,2)=6,"Sa.","So"))))))</f>
        <v>So</v>
      </c>
      <c r="C473" s="93" t="n">
        <f aca="false">C472+1</f>
        <v>46390</v>
      </c>
      <c r="D473" s="94"/>
      <c r="E473" s="95"/>
      <c r="F473" s="77" t="s">
        <v>92</v>
      </c>
      <c r="G473" s="61"/>
      <c r="H473" s="96"/>
      <c r="I473" s="86"/>
      <c r="J473" s="86"/>
      <c r="K473" s="86"/>
      <c r="L473" s="86"/>
      <c r="N473" s="63"/>
      <c r="O473" s="64" t="s">
        <v>212</v>
      </c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</row>
    <row r="474" customFormat="false" ht="13.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N474" s="65"/>
      <c r="O474" s="1" t="s">
        <v>117</v>
      </c>
    </row>
    <row r="475" customFormat="false" ht="13.5" hidden="false" customHeight="false" outlineLevel="0" collapsed="false">
      <c r="A475" s="25" t="str">
        <f aca="false">Student_Name</f>
        <v>Hassine</v>
      </c>
      <c r="B475" s="25"/>
      <c r="C475" s="25"/>
      <c r="D475" s="25"/>
      <c r="E475" s="25"/>
      <c r="F475" s="25"/>
      <c r="G475" s="10"/>
      <c r="H475" s="25" t="str">
        <f aca="false">Ausbildungsbetrieb_Unternehmen</f>
        <v>Mechanische Werkstätte Schmidt e.K.</v>
      </c>
      <c r="I475" s="10"/>
      <c r="J475" s="10"/>
      <c r="K475" s="10"/>
      <c r="L475" s="10"/>
    </row>
    <row r="476" customFormat="false" ht="13.5" hidden="false" customHeight="false" outlineLevel="0" collapsed="false">
      <c r="A476" s="9" t="s">
        <v>31</v>
      </c>
      <c r="B476" s="9"/>
      <c r="C476" s="9"/>
      <c r="D476" s="9"/>
      <c r="E476" s="9"/>
      <c r="F476" s="9"/>
      <c r="G476" s="9"/>
      <c r="H476" s="9" t="s">
        <v>32</v>
      </c>
      <c r="I476" s="9"/>
      <c r="J476" s="9"/>
      <c r="K476" s="9"/>
      <c r="L476" s="9"/>
    </row>
    <row r="477" customFormat="false" ht="13.5" hidden="false" customHeight="false" outlineLevel="0" collapsed="false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</row>
    <row r="478" customFormat="false" ht="13.5" hidden="false" customHeight="false" outlineLevel="0" collapsed="false">
      <c r="A478" s="25" t="str">
        <f aca="false">Student_Vorname</f>
        <v>Houcine</v>
      </c>
      <c r="B478" s="25"/>
      <c r="C478" s="25"/>
      <c r="D478" s="25"/>
      <c r="E478" s="25"/>
      <c r="F478" s="25"/>
      <c r="G478" s="10"/>
      <c r="H478" s="25" t="str">
        <f aca="false">CONCATENATE(Ausbildungsbetrieb_Vorname, " ", Ausbildungsbetrieb_Name)</f>
        <v>Amine Halloul</v>
      </c>
      <c r="I478" s="10"/>
      <c r="J478" s="10"/>
      <c r="K478" s="10"/>
      <c r="L478" s="10"/>
    </row>
    <row r="479" customFormat="false" ht="13.5" hidden="false" customHeight="false" outlineLevel="0" collapsed="false">
      <c r="A479" s="9" t="s">
        <v>34</v>
      </c>
      <c r="B479" s="9"/>
      <c r="C479" s="9"/>
      <c r="D479" s="9"/>
      <c r="E479" s="9"/>
      <c r="F479" s="9"/>
      <c r="G479" s="9"/>
      <c r="H479" s="9" t="s">
        <v>82</v>
      </c>
      <c r="I479" s="9"/>
      <c r="J479" s="9"/>
      <c r="K479" s="9"/>
      <c r="L479" s="9"/>
    </row>
    <row r="480" customFormat="false" ht="13.5" hidden="false" customHeight="false" outlineLevel="0" collapsed="false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</row>
    <row r="481" customFormat="false" ht="13.5" hidden="false" customHeight="false" outlineLevel="0" collapsed="false">
      <c r="A481" s="25" t="str">
        <f aca="false">Student_Studiengruppe</f>
        <v>PA6</v>
      </c>
      <c r="B481" s="25"/>
      <c r="C481" s="25"/>
      <c r="D481" s="25"/>
      <c r="E481" s="25"/>
      <c r="F481" s="25"/>
      <c r="G481" s="10"/>
      <c r="H481" s="25" t="str">
        <f aca="false">Ausbildungsbetrieb_Email</f>
        <v>⟨E-Mail Betreuer⟩</v>
      </c>
      <c r="I481" s="10"/>
      <c r="J481" s="10"/>
      <c r="K481" s="10"/>
      <c r="L481" s="10"/>
    </row>
    <row r="482" customFormat="false" ht="13.5" hidden="false" customHeight="false" outlineLevel="0" collapsed="false">
      <c r="A482" s="9" t="s">
        <v>38</v>
      </c>
      <c r="B482" s="9"/>
      <c r="C482" s="9"/>
      <c r="D482" s="9"/>
      <c r="E482" s="9"/>
      <c r="F482" s="9"/>
      <c r="G482" s="9"/>
      <c r="H482" s="9" t="s">
        <v>83</v>
      </c>
      <c r="I482" s="9"/>
      <c r="J482" s="9"/>
      <c r="K482" s="9"/>
      <c r="L482" s="9"/>
    </row>
    <row r="483" customFormat="false" ht="13.5" hidden="false" customHeight="false" outlineLevel="0" collapsed="false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</row>
    <row r="484" customFormat="false" ht="13.5" hidden="false" customHeight="false" outlineLevel="0" collapsed="false">
      <c r="A484" s="25" t="str">
        <f aca="false">Student_Matrikelnummer</f>
        <v>3399727</v>
      </c>
      <c r="B484" s="25"/>
      <c r="C484" s="25"/>
      <c r="D484" s="25"/>
      <c r="E484" s="25"/>
      <c r="F484" s="25"/>
      <c r="G484" s="10"/>
      <c r="H484" s="25" t="str">
        <f aca="false">Ausbildungsbetrieb_Telefon</f>
        <v>⟨Telefon Betreuer⟩</v>
      </c>
      <c r="I484" s="10"/>
      <c r="J484" s="10"/>
      <c r="K484" s="10"/>
      <c r="L484" s="10"/>
    </row>
    <row r="485" customFormat="false" ht="13.5" hidden="false" customHeight="false" outlineLevel="0" collapsed="false">
      <c r="A485" s="9" t="s">
        <v>42</v>
      </c>
      <c r="B485" s="9"/>
      <c r="C485" s="9"/>
      <c r="D485" s="9"/>
      <c r="E485" s="9"/>
      <c r="F485" s="9"/>
      <c r="G485" s="9"/>
      <c r="H485" s="9" t="s">
        <v>84</v>
      </c>
      <c r="I485" s="9"/>
      <c r="J485" s="9"/>
      <c r="K485" s="9"/>
      <c r="L485" s="9"/>
    </row>
    <row r="486" customFormat="false" ht="14.25" hidden="false" customHeight="true" outlineLevel="0" collapsed="false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</row>
    <row r="487" customFormat="false" ht="13.5" hidden="false" customHeight="false" outlineLevel="0" collapsed="false">
      <c r="A487" s="27"/>
      <c r="B487" s="28"/>
      <c r="C487" s="28"/>
      <c r="D487" s="28"/>
      <c r="E487" s="28" t="s">
        <v>85</v>
      </c>
      <c r="F487" s="28"/>
      <c r="G487" s="28"/>
      <c r="H487" s="29" t="s">
        <v>86</v>
      </c>
      <c r="I487" s="30"/>
      <c r="J487" s="30"/>
      <c r="K487" s="30"/>
      <c r="L487" s="30"/>
    </row>
    <row r="488" customFormat="false" ht="14.25" hidden="false" customHeight="true" outlineLevel="0" collapsed="false">
      <c r="A488" s="31" t="s">
        <v>87</v>
      </c>
      <c r="B488" s="31"/>
      <c r="C488" s="32" t="s">
        <v>88</v>
      </c>
      <c r="D488" s="32"/>
      <c r="E488" s="33" t="s">
        <v>89</v>
      </c>
      <c r="F488" s="33"/>
      <c r="G488" s="33"/>
      <c r="H488" s="34" t="s">
        <v>90</v>
      </c>
      <c r="I488" s="30"/>
      <c r="J488" s="30"/>
      <c r="K488" s="30"/>
      <c r="L488" s="30"/>
    </row>
    <row r="489" customFormat="false" ht="13.8" hidden="false" customHeight="false" outlineLevel="0" collapsed="false">
      <c r="A489" s="81" t="n">
        <f aca="false">A473+1</f>
        <v>308</v>
      </c>
      <c r="B489" s="78" t="str">
        <f aca="false">IF(WEEKDAY(C489,2)=1,"Mo",IF(WEEKDAY(C489,2)=2,"Di",IF(WEEKDAY(C489,2)=3,"Mi",IF(WEEKDAY(C489,2)=4,"Do.",IF(WEEKDAY(C489,2)=5,"Fr.",IF(WEEKDAY(C489,2)=6,"Sa.","So"))))))</f>
        <v>Mo</v>
      </c>
      <c r="C489" s="82" t="n">
        <f aca="false">C473+1</f>
        <v>46391</v>
      </c>
      <c r="D489" s="83"/>
      <c r="E489" s="84"/>
      <c r="F489" s="78" t="s">
        <v>92</v>
      </c>
      <c r="G489" s="41"/>
      <c r="H489" s="85"/>
      <c r="I489" s="86"/>
      <c r="J489" s="86"/>
      <c r="K489" s="86"/>
      <c r="L489" s="86"/>
    </row>
    <row r="490" customFormat="false" ht="13.8" hidden="false" customHeight="false" outlineLevel="0" collapsed="false">
      <c r="A490" s="87" t="n">
        <f aca="false">A489+1</f>
        <v>309</v>
      </c>
      <c r="B490" s="76" t="str">
        <f aca="false">IF(WEEKDAY(C490,2)=1,"Mo",IF(WEEKDAY(C490,2)=2,"Di",IF(WEEKDAY(C490,2)=3,"Mi",IF(WEEKDAY(C490,2)=4,"Do.",IF(WEEKDAY(C490,2)=5,"Fr.",IF(WEEKDAY(C490,2)=6,"Sa.","So"))))))</f>
        <v>Di</v>
      </c>
      <c r="C490" s="88" t="n">
        <f aca="false">C489+1</f>
        <v>46392</v>
      </c>
      <c r="D490" s="89"/>
      <c r="E490" s="90"/>
      <c r="F490" s="76" t="s">
        <v>92</v>
      </c>
      <c r="G490" s="51"/>
      <c r="H490" s="91"/>
      <c r="I490" s="86"/>
      <c r="J490" s="86"/>
      <c r="K490" s="86"/>
      <c r="L490" s="86"/>
    </row>
    <row r="491" customFormat="false" ht="13.8" hidden="false" customHeight="false" outlineLevel="0" collapsed="false">
      <c r="A491" s="87" t="n">
        <f aca="false">A490+1</f>
        <v>310</v>
      </c>
      <c r="B491" s="76" t="str">
        <f aca="false">IF(WEEKDAY(C491,2)=1,"Mo",IF(WEEKDAY(C491,2)=2,"Di",IF(WEEKDAY(C491,2)=3,"Mi",IF(WEEKDAY(C491,2)=4,"Do.",IF(WEEKDAY(C491,2)=5,"Fr.",IF(WEEKDAY(C491,2)=6,"Sa.","So"))))))</f>
        <v>Mi</v>
      </c>
      <c r="C491" s="88" t="n">
        <f aca="false">C490+1</f>
        <v>46393</v>
      </c>
      <c r="D491" s="89"/>
      <c r="E491" s="90"/>
      <c r="F491" s="76" t="s">
        <v>92</v>
      </c>
      <c r="G491" s="51"/>
      <c r="H491" s="91"/>
      <c r="I491" s="86"/>
      <c r="J491" s="86"/>
      <c r="K491" s="86"/>
      <c r="L491" s="86"/>
    </row>
    <row r="492" customFormat="false" ht="13.8" hidden="false" customHeight="false" outlineLevel="0" collapsed="false">
      <c r="A492" s="87" t="n">
        <f aca="false">A491+1</f>
        <v>311</v>
      </c>
      <c r="B492" s="76" t="str">
        <f aca="false">IF(WEEKDAY(C492,2)=1,"Mo",IF(WEEKDAY(C492,2)=2,"Di",IF(WEEKDAY(C492,2)=3,"Mi",IF(WEEKDAY(C492,2)=4,"Do.",IF(WEEKDAY(C492,2)=5,"Fr.",IF(WEEKDAY(C492,2)=6,"Sa.","So"))))))</f>
        <v>Do.</v>
      </c>
      <c r="C492" s="88" t="n">
        <f aca="false">C491+1</f>
        <v>46394</v>
      </c>
      <c r="D492" s="89"/>
      <c r="E492" s="90"/>
      <c r="F492" s="76" t="s">
        <v>92</v>
      </c>
      <c r="G492" s="51"/>
      <c r="H492" s="91"/>
      <c r="I492" s="86"/>
      <c r="J492" s="86"/>
      <c r="K492" s="86"/>
      <c r="L492" s="86"/>
    </row>
    <row r="493" customFormat="false" ht="13.8" hidden="false" customHeight="false" outlineLevel="0" collapsed="false">
      <c r="A493" s="87" t="n">
        <f aca="false">A492+1</f>
        <v>312</v>
      </c>
      <c r="B493" s="76" t="str">
        <f aca="false">IF(WEEKDAY(C493,2)=1,"Mo",IF(WEEKDAY(C493,2)=2,"Di",IF(WEEKDAY(C493,2)=3,"Mi",IF(WEEKDAY(C493,2)=4,"Do.",IF(WEEKDAY(C493,2)=5,"Fr.",IF(WEEKDAY(C493,2)=6,"Sa.","So"))))))</f>
        <v>Fr.</v>
      </c>
      <c r="C493" s="88" t="n">
        <f aca="false">C492+1</f>
        <v>46395</v>
      </c>
      <c r="D493" s="89"/>
      <c r="E493" s="90"/>
      <c r="F493" s="76" t="s">
        <v>92</v>
      </c>
      <c r="G493" s="51"/>
      <c r="H493" s="91"/>
      <c r="I493" s="86"/>
      <c r="J493" s="86"/>
      <c r="K493" s="86"/>
      <c r="L493" s="86"/>
    </row>
    <row r="494" customFormat="false" ht="13.8" hidden="false" customHeight="false" outlineLevel="0" collapsed="false">
      <c r="A494" s="87" t="n">
        <f aca="false">A493+1</f>
        <v>313</v>
      </c>
      <c r="B494" s="76" t="str">
        <f aca="false">IF(WEEKDAY(C494,2)=1,"Mo",IF(WEEKDAY(C494,2)=2,"Di",IF(WEEKDAY(C494,2)=3,"Mi",IF(WEEKDAY(C494,2)=4,"Do.",IF(WEEKDAY(C494,2)=5,"Fr.",IF(WEEKDAY(C494,2)=6,"Sa.","So"))))))</f>
        <v>Sa.</v>
      </c>
      <c r="C494" s="88" t="n">
        <f aca="false">C493+1</f>
        <v>46396</v>
      </c>
      <c r="D494" s="89"/>
      <c r="E494" s="90"/>
      <c r="F494" s="76" t="s">
        <v>92</v>
      </c>
      <c r="G494" s="51"/>
      <c r="H494" s="91"/>
      <c r="I494" s="86"/>
      <c r="J494" s="86"/>
      <c r="K494" s="86"/>
      <c r="L494" s="86"/>
    </row>
    <row r="495" customFormat="false" ht="13.8" hidden="false" customHeight="false" outlineLevel="0" collapsed="false">
      <c r="A495" s="87" t="n">
        <f aca="false">A494+1</f>
        <v>314</v>
      </c>
      <c r="B495" s="76" t="str">
        <f aca="false">IF(WEEKDAY(C495,2)=1,"Mo",IF(WEEKDAY(C495,2)=2,"Di",IF(WEEKDAY(C495,2)=3,"Mi",IF(WEEKDAY(C495,2)=4,"Do.",IF(WEEKDAY(C495,2)=5,"Fr.",IF(WEEKDAY(C495,2)=6,"Sa.","So"))))))</f>
        <v>So</v>
      </c>
      <c r="C495" s="88" t="n">
        <f aca="false">C494+1</f>
        <v>46397</v>
      </c>
      <c r="D495" s="89"/>
      <c r="E495" s="90"/>
      <c r="F495" s="76" t="s">
        <v>92</v>
      </c>
      <c r="G495" s="51"/>
      <c r="H495" s="91"/>
      <c r="I495" s="86"/>
      <c r="J495" s="86"/>
      <c r="K495" s="86"/>
      <c r="L495" s="86"/>
    </row>
    <row r="496" customFormat="false" ht="13.8" hidden="false" customHeight="false" outlineLevel="0" collapsed="false">
      <c r="A496" s="87" t="n">
        <f aca="false">A495+1</f>
        <v>315</v>
      </c>
      <c r="B496" s="76" t="str">
        <f aca="false">IF(WEEKDAY(C496,2)=1,"Mo",IF(WEEKDAY(C496,2)=2,"Di",IF(WEEKDAY(C496,2)=3,"Mi",IF(WEEKDAY(C496,2)=4,"Do.",IF(WEEKDAY(C496,2)=5,"Fr.",IF(WEEKDAY(C496,2)=6,"Sa.","So"))))))</f>
        <v>Mo</v>
      </c>
      <c r="C496" s="88" t="n">
        <f aca="false">C495+1</f>
        <v>46398</v>
      </c>
      <c r="D496" s="89"/>
      <c r="E496" s="90"/>
      <c r="F496" s="76" t="s">
        <v>92</v>
      </c>
      <c r="G496" s="51"/>
      <c r="H496" s="91"/>
      <c r="I496" s="86"/>
      <c r="J496" s="86"/>
      <c r="K496" s="86"/>
      <c r="L496" s="86"/>
    </row>
    <row r="497" customFormat="false" ht="13.8" hidden="false" customHeight="false" outlineLevel="0" collapsed="false">
      <c r="A497" s="87" t="n">
        <f aca="false">A496+1</f>
        <v>316</v>
      </c>
      <c r="B497" s="76" t="str">
        <f aca="false">IF(WEEKDAY(C497,2)=1,"Mo",IF(WEEKDAY(C497,2)=2,"Di",IF(WEEKDAY(C497,2)=3,"Mi",IF(WEEKDAY(C497,2)=4,"Do.",IF(WEEKDAY(C497,2)=5,"Fr.",IF(WEEKDAY(C497,2)=6,"Sa.","So"))))))</f>
        <v>Di</v>
      </c>
      <c r="C497" s="88" t="n">
        <f aca="false">C496+1</f>
        <v>46399</v>
      </c>
      <c r="D497" s="89"/>
      <c r="E497" s="90"/>
      <c r="F497" s="76" t="s">
        <v>92</v>
      </c>
      <c r="G497" s="51"/>
      <c r="H497" s="91"/>
      <c r="I497" s="86"/>
      <c r="J497" s="86"/>
      <c r="K497" s="86"/>
      <c r="L497" s="86"/>
    </row>
    <row r="498" customFormat="false" ht="13.8" hidden="false" customHeight="false" outlineLevel="0" collapsed="false">
      <c r="A498" s="87" t="n">
        <f aca="false">A497+1</f>
        <v>317</v>
      </c>
      <c r="B498" s="76" t="str">
        <f aca="false">IF(WEEKDAY(C498,2)=1,"Mo",IF(WEEKDAY(C498,2)=2,"Di",IF(WEEKDAY(C498,2)=3,"Mi",IF(WEEKDAY(C498,2)=4,"Do.",IF(WEEKDAY(C498,2)=5,"Fr.",IF(WEEKDAY(C498,2)=6,"Sa.","So"))))))</f>
        <v>Mi</v>
      </c>
      <c r="C498" s="88" t="n">
        <f aca="false">C497+1</f>
        <v>46400</v>
      </c>
      <c r="D498" s="89"/>
      <c r="E498" s="90"/>
      <c r="F498" s="76" t="s">
        <v>92</v>
      </c>
      <c r="G498" s="51"/>
      <c r="H498" s="91"/>
      <c r="I498" s="86"/>
      <c r="J498" s="86"/>
      <c r="K498" s="86"/>
      <c r="L498" s="86"/>
    </row>
    <row r="499" customFormat="false" ht="13.8" hidden="false" customHeight="false" outlineLevel="0" collapsed="false">
      <c r="A499" s="87" t="n">
        <f aca="false">A498+1</f>
        <v>318</v>
      </c>
      <c r="B499" s="76" t="str">
        <f aca="false">IF(WEEKDAY(C499,2)=1,"Mo",IF(WEEKDAY(C499,2)=2,"Di",IF(WEEKDAY(C499,2)=3,"Mi",IF(WEEKDAY(C499,2)=4,"Do.",IF(WEEKDAY(C499,2)=5,"Fr.",IF(WEEKDAY(C499,2)=6,"Sa.","So"))))))</f>
        <v>Do.</v>
      </c>
      <c r="C499" s="88" t="n">
        <f aca="false">C498+1</f>
        <v>46401</v>
      </c>
      <c r="D499" s="89"/>
      <c r="E499" s="90"/>
      <c r="F499" s="76" t="s">
        <v>92</v>
      </c>
      <c r="G499" s="51"/>
      <c r="H499" s="91"/>
      <c r="I499" s="86"/>
      <c r="J499" s="86"/>
      <c r="K499" s="86"/>
      <c r="L499" s="86"/>
    </row>
    <row r="500" customFormat="false" ht="13.8" hidden="false" customHeight="false" outlineLevel="0" collapsed="false">
      <c r="A500" s="87" t="n">
        <f aca="false">A499+1</f>
        <v>319</v>
      </c>
      <c r="B500" s="76" t="str">
        <f aca="false">IF(WEEKDAY(C500,2)=1,"Mo",IF(WEEKDAY(C500,2)=2,"Di",IF(WEEKDAY(C500,2)=3,"Mi",IF(WEEKDAY(C500,2)=4,"Do.",IF(WEEKDAY(C500,2)=5,"Fr.",IF(WEEKDAY(C500,2)=6,"Sa.","So"))))))</f>
        <v>Fr.</v>
      </c>
      <c r="C500" s="88" t="n">
        <f aca="false">C499+1</f>
        <v>46402</v>
      </c>
      <c r="D500" s="89"/>
      <c r="E500" s="90"/>
      <c r="F500" s="76" t="s">
        <v>92</v>
      </c>
      <c r="G500" s="51"/>
      <c r="H500" s="91"/>
      <c r="I500" s="86"/>
      <c r="J500" s="86"/>
      <c r="K500" s="86"/>
      <c r="L500" s="86"/>
    </row>
    <row r="501" customFormat="false" ht="13.8" hidden="false" customHeight="false" outlineLevel="0" collapsed="false">
      <c r="A501" s="87" t="n">
        <f aca="false">A500+1</f>
        <v>320</v>
      </c>
      <c r="B501" s="76" t="str">
        <f aca="false">IF(WEEKDAY(C501,2)=1,"Mo",IF(WEEKDAY(C501,2)=2,"Di",IF(WEEKDAY(C501,2)=3,"Mi",IF(WEEKDAY(C501,2)=4,"Do.",IF(WEEKDAY(C501,2)=5,"Fr.",IF(WEEKDAY(C501,2)=6,"Sa.","So"))))))</f>
        <v>Sa.</v>
      </c>
      <c r="C501" s="88" t="n">
        <f aca="false">C500+1</f>
        <v>46403</v>
      </c>
      <c r="D501" s="89"/>
      <c r="E501" s="90"/>
      <c r="F501" s="76" t="s">
        <v>92</v>
      </c>
      <c r="G501" s="51"/>
      <c r="H501" s="91"/>
      <c r="I501" s="86"/>
      <c r="J501" s="86"/>
      <c r="K501" s="86"/>
      <c r="L501" s="86"/>
    </row>
    <row r="502" customFormat="false" ht="13.8" hidden="false" customHeight="false" outlineLevel="0" collapsed="false">
      <c r="A502" s="87" t="n">
        <f aca="false">A501+1</f>
        <v>321</v>
      </c>
      <c r="B502" s="76" t="str">
        <f aca="false">IF(WEEKDAY(C502,2)=1,"Mo",IF(WEEKDAY(C502,2)=2,"Di",IF(WEEKDAY(C502,2)=3,"Mi",IF(WEEKDAY(C502,2)=4,"Do.",IF(WEEKDAY(C502,2)=5,"Fr.",IF(WEEKDAY(C502,2)=6,"Sa.","So"))))))</f>
        <v>So</v>
      </c>
      <c r="C502" s="88" t="n">
        <f aca="false">C501+1</f>
        <v>46404</v>
      </c>
      <c r="D502" s="89"/>
      <c r="E502" s="90"/>
      <c r="F502" s="76" t="s">
        <v>92</v>
      </c>
      <c r="G502" s="51"/>
      <c r="H502" s="91"/>
      <c r="I502" s="86"/>
      <c r="J502" s="86"/>
      <c r="K502" s="86"/>
      <c r="L502" s="86"/>
    </row>
    <row r="503" customFormat="false" ht="13.8" hidden="false" customHeight="false" outlineLevel="0" collapsed="false">
      <c r="A503" s="87" t="n">
        <f aca="false">A502+1</f>
        <v>322</v>
      </c>
      <c r="B503" s="76" t="str">
        <f aca="false">IF(WEEKDAY(C503,2)=1,"Mo",IF(WEEKDAY(C503,2)=2,"Di",IF(WEEKDAY(C503,2)=3,"Mi",IF(WEEKDAY(C503,2)=4,"Do.",IF(WEEKDAY(C503,2)=5,"Fr.",IF(WEEKDAY(C503,2)=6,"Sa.","So"))))))</f>
        <v>Mo</v>
      </c>
      <c r="C503" s="88" t="n">
        <f aca="false">C502+1</f>
        <v>46405</v>
      </c>
      <c r="D503" s="89"/>
      <c r="E503" s="90"/>
      <c r="F503" s="76" t="s">
        <v>92</v>
      </c>
      <c r="G503" s="51"/>
      <c r="H503" s="91"/>
      <c r="I503" s="86"/>
      <c r="J503" s="86"/>
      <c r="K503" s="86"/>
      <c r="L503" s="86"/>
    </row>
    <row r="504" customFormat="false" ht="13.8" hidden="false" customHeight="false" outlineLevel="0" collapsed="false">
      <c r="A504" s="87" t="n">
        <f aca="false">A503+1</f>
        <v>323</v>
      </c>
      <c r="B504" s="76" t="str">
        <f aca="false">IF(WEEKDAY(C504,2)=1,"Mo",IF(WEEKDAY(C504,2)=2,"Di",IF(WEEKDAY(C504,2)=3,"Mi",IF(WEEKDAY(C504,2)=4,"Do.",IF(WEEKDAY(C504,2)=5,"Fr.",IF(WEEKDAY(C504,2)=6,"Sa.","So"))))))</f>
        <v>Di</v>
      </c>
      <c r="C504" s="88" t="n">
        <f aca="false">C503+1</f>
        <v>46406</v>
      </c>
      <c r="D504" s="89"/>
      <c r="E504" s="90"/>
      <c r="F504" s="76" t="s">
        <v>92</v>
      </c>
      <c r="G504" s="51"/>
      <c r="H504" s="91"/>
      <c r="I504" s="86"/>
      <c r="J504" s="86"/>
      <c r="K504" s="86"/>
      <c r="L504" s="86"/>
    </row>
    <row r="505" customFormat="false" ht="13.8" hidden="false" customHeight="false" outlineLevel="0" collapsed="false">
      <c r="A505" s="87" t="n">
        <f aca="false">A504+1</f>
        <v>324</v>
      </c>
      <c r="B505" s="76" t="str">
        <f aca="false">IF(WEEKDAY(C505,2)=1,"Mo",IF(WEEKDAY(C505,2)=2,"Di",IF(WEEKDAY(C505,2)=3,"Mi",IF(WEEKDAY(C505,2)=4,"Do.",IF(WEEKDAY(C505,2)=5,"Fr.",IF(WEEKDAY(C505,2)=6,"Sa.","So"))))))</f>
        <v>Mi</v>
      </c>
      <c r="C505" s="88" t="n">
        <f aca="false">C504+1</f>
        <v>46407</v>
      </c>
      <c r="D505" s="89"/>
      <c r="E505" s="90"/>
      <c r="F505" s="76" t="s">
        <v>92</v>
      </c>
      <c r="G505" s="51"/>
      <c r="H505" s="91"/>
      <c r="I505" s="86"/>
      <c r="J505" s="86"/>
      <c r="K505" s="86"/>
      <c r="L505" s="86"/>
    </row>
    <row r="506" customFormat="false" ht="13.8" hidden="false" customHeight="false" outlineLevel="0" collapsed="false">
      <c r="A506" s="87" t="n">
        <f aca="false">A505+1</f>
        <v>325</v>
      </c>
      <c r="B506" s="76" t="str">
        <f aca="false">IF(WEEKDAY(C506,2)=1,"Mo",IF(WEEKDAY(C506,2)=2,"Di",IF(WEEKDAY(C506,2)=3,"Mi",IF(WEEKDAY(C506,2)=4,"Do.",IF(WEEKDAY(C506,2)=5,"Fr.",IF(WEEKDAY(C506,2)=6,"Sa.","So"))))))</f>
        <v>Do.</v>
      </c>
      <c r="C506" s="88" t="n">
        <f aca="false">C505+1</f>
        <v>46408</v>
      </c>
      <c r="D506" s="89"/>
      <c r="E506" s="90"/>
      <c r="F506" s="76" t="s">
        <v>92</v>
      </c>
      <c r="G506" s="51"/>
      <c r="H506" s="91"/>
      <c r="I506" s="86"/>
      <c r="J506" s="86"/>
      <c r="K506" s="86"/>
      <c r="L506" s="86"/>
    </row>
    <row r="507" customFormat="false" ht="13.8" hidden="false" customHeight="false" outlineLevel="0" collapsed="false">
      <c r="A507" s="87" t="n">
        <f aca="false">A506+1</f>
        <v>326</v>
      </c>
      <c r="B507" s="76" t="str">
        <f aca="false">IF(WEEKDAY(C507,2)=1,"Mo",IF(WEEKDAY(C507,2)=2,"Di",IF(WEEKDAY(C507,2)=3,"Mi",IF(WEEKDAY(C507,2)=4,"Do.",IF(WEEKDAY(C507,2)=5,"Fr.",IF(WEEKDAY(C507,2)=6,"Sa.","So"))))))</f>
        <v>Fr.</v>
      </c>
      <c r="C507" s="88" t="n">
        <f aca="false">C506+1</f>
        <v>46409</v>
      </c>
      <c r="D507" s="89"/>
      <c r="E507" s="90"/>
      <c r="F507" s="76" t="s">
        <v>92</v>
      </c>
      <c r="G507" s="51"/>
      <c r="H507" s="91"/>
      <c r="I507" s="86"/>
      <c r="J507" s="86"/>
      <c r="K507" s="86"/>
      <c r="L507" s="86"/>
    </row>
    <row r="508" customFormat="false" ht="13.8" hidden="false" customHeight="false" outlineLevel="0" collapsed="false">
      <c r="A508" s="87" t="n">
        <f aca="false">A507+1</f>
        <v>327</v>
      </c>
      <c r="B508" s="76" t="str">
        <f aca="false">IF(WEEKDAY(C508,2)=1,"Mo",IF(WEEKDAY(C508,2)=2,"Di",IF(WEEKDAY(C508,2)=3,"Mi",IF(WEEKDAY(C508,2)=4,"Do.",IF(WEEKDAY(C508,2)=5,"Fr.",IF(WEEKDAY(C508,2)=6,"Sa.","So"))))))</f>
        <v>Sa.</v>
      </c>
      <c r="C508" s="88" t="n">
        <f aca="false">C507+1</f>
        <v>46410</v>
      </c>
      <c r="D508" s="89"/>
      <c r="E508" s="90"/>
      <c r="F508" s="76" t="s">
        <v>92</v>
      </c>
      <c r="G508" s="51"/>
      <c r="H508" s="91"/>
      <c r="I508" s="86"/>
      <c r="J508" s="86"/>
      <c r="K508" s="86"/>
      <c r="L508" s="86"/>
    </row>
    <row r="509" customFormat="false" ht="13.8" hidden="false" customHeight="false" outlineLevel="0" collapsed="false">
      <c r="A509" s="87" t="n">
        <f aca="false">A508+1</f>
        <v>328</v>
      </c>
      <c r="B509" s="76" t="str">
        <f aca="false">IF(WEEKDAY(C509,2)=1,"Mo",IF(WEEKDAY(C509,2)=2,"Di",IF(WEEKDAY(C509,2)=3,"Mi",IF(WEEKDAY(C509,2)=4,"Do.",IF(WEEKDAY(C509,2)=5,"Fr.",IF(WEEKDAY(C509,2)=6,"Sa.","So"))))))</f>
        <v>So</v>
      </c>
      <c r="C509" s="88" t="n">
        <f aca="false">C508+1</f>
        <v>46411</v>
      </c>
      <c r="D509" s="89"/>
      <c r="E509" s="90"/>
      <c r="F509" s="76" t="s">
        <v>92</v>
      </c>
      <c r="G509" s="51"/>
      <c r="H509" s="91"/>
      <c r="I509" s="86"/>
      <c r="J509" s="86"/>
      <c r="K509" s="86"/>
      <c r="L509" s="86"/>
    </row>
    <row r="510" customFormat="false" ht="13.8" hidden="false" customHeight="false" outlineLevel="0" collapsed="false">
      <c r="A510" s="87" t="n">
        <f aca="false">A509+1</f>
        <v>329</v>
      </c>
      <c r="B510" s="76" t="str">
        <f aca="false">IF(WEEKDAY(C510,2)=1,"Mo",IF(WEEKDAY(C510,2)=2,"Di",IF(WEEKDAY(C510,2)=3,"Mi",IF(WEEKDAY(C510,2)=4,"Do.",IF(WEEKDAY(C510,2)=5,"Fr.",IF(WEEKDAY(C510,2)=6,"Sa.","So"))))))</f>
        <v>Mo</v>
      </c>
      <c r="C510" s="88" t="n">
        <f aca="false">C509+1</f>
        <v>46412</v>
      </c>
      <c r="D510" s="89"/>
      <c r="E510" s="90"/>
      <c r="F510" s="76" t="s">
        <v>92</v>
      </c>
      <c r="G510" s="51"/>
      <c r="H510" s="91"/>
      <c r="I510" s="86"/>
      <c r="J510" s="86"/>
      <c r="K510" s="86"/>
      <c r="L510" s="86"/>
    </row>
    <row r="511" customFormat="false" ht="13.8" hidden="false" customHeight="false" outlineLevel="0" collapsed="false">
      <c r="A511" s="87" t="n">
        <f aca="false">A510+1</f>
        <v>330</v>
      </c>
      <c r="B511" s="76" t="str">
        <f aca="false">IF(WEEKDAY(C511,2)=1,"Mo",IF(WEEKDAY(C511,2)=2,"Di",IF(WEEKDAY(C511,2)=3,"Mi",IF(WEEKDAY(C511,2)=4,"Do.",IF(WEEKDAY(C511,2)=5,"Fr.",IF(WEEKDAY(C511,2)=6,"Sa.","So"))))))</f>
        <v>Di</v>
      </c>
      <c r="C511" s="88" t="n">
        <f aca="false">C510+1</f>
        <v>46413</v>
      </c>
      <c r="D511" s="89"/>
      <c r="E511" s="90"/>
      <c r="F511" s="76" t="s">
        <v>92</v>
      </c>
      <c r="G511" s="51"/>
      <c r="H511" s="91"/>
      <c r="I511" s="86"/>
      <c r="J511" s="86"/>
      <c r="K511" s="86"/>
      <c r="L511" s="86"/>
    </row>
    <row r="512" customFormat="false" ht="13.8" hidden="false" customHeight="false" outlineLevel="0" collapsed="false">
      <c r="A512" s="87" t="n">
        <f aca="false">A511+1</f>
        <v>331</v>
      </c>
      <c r="B512" s="76" t="str">
        <f aca="false">IF(WEEKDAY(C512,2)=1,"Mo",IF(WEEKDAY(C512,2)=2,"Di",IF(WEEKDAY(C512,2)=3,"Mi",IF(WEEKDAY(C512,2)=4,"Do.",IF(WEEKDAY(C512,2)=5,"Fr.",IF(WEEKDAY(C512,2)=6,"Sa.","So"))))))</f>
        <v>Mi</v>
      </c>
      <c r="C512" s="88" t="n">
        <f aca="false">C511+1</f>
        <v>46414</v>
      </c>
      <c r="D512" s="89"/>
      <c r="E512" s="90"/>
      <c r="F512" s="76" t="s">
        <v>92</v>
      </c>
      <c r="G512" s="51"/>
      <c r="H512" s="91"/>
      <c r="I512" s="86"/>
      <c r="J512" s="86"/>
      <c r="K512" s="86"/>
      <c r="L512" s="86"/>
    </row>
    <row r="513" customFormat="false" ht="13.8" hidden="false" customHeight="false" outlineLevel="0" collapsed="false">
      <c r="A513" s="87" t="n">
        <f aca="false">A512+1</f>
        <v>332</v>
      </c>
      <c r="B513" s="76" t="str">
        <f aca="false">IF(WEEKDAY(C513,2)=1,"Mo",IF(WEEKDAY(C513,2)=2,"Di",IF(WEEKDAY(C513,2)=3,"Mi",IF(WEEKDAY(C513,2)=4,"Do.",IF(WEEKDAY(C513,2)=5,"Fr.",IF(WEEKDAY(C513,2)=6,"Sa.","So"))))))</f>
        <v>Do.</v>
      </c>
      <c r="C513" s="88" t="n">
        <f aca="false">C512+1</f>
        <v>46415</v>
      </c>
      <c r="D513" s="89"/>
      <c r="E513" s="90"/>
      <c r="F513" s="76" t="s">
        <v>92</v>
      </c>
      <c r="G513" s="51"/>
      <c r="H513" s="91"/>
      <c r="I513" s="86"/>
      <c r="J513" s="86"/>
      <c r="K513" s="86"/>
      <c r="L513" s="86"/>
    </row>
    <row r="514" customFormat="false" ht="13.8" hidden="false" customHeight="false" outlineLevel="0" collapsed="false">
      <c r="A514" s="87" t="n">
        <f aca="false">A513+1</f>
        <v>333</v>
      </c>
      <c r="B514" s="76" t="str">
        <f aca="false">IF(WEEKDAY(C514,2)=1,"Mo",IF(WEEKDAY(C514,2)=2,"Di",IF(WEEKDAY(C514,2)=3,"Mi",IF(WEEKDAY(C514,2)=4,"Do.",IF(WEEKDAY(C514,2)=5,"Fr.",IF(WEEKDAY(C514,2)=6,"Sa.","So"))))))</f>
        <v>Fr.</v>
      </c>
      <c r="C514" s="88" t="n">
        <f aca="false">C513+1</f>
        <v>46416</v>
      </c>
      <c r="D514" s="89"/>
      <c r="E514" s="90"/>
      <c r="F514" s="76" t="s">
        <v>92</v>
      </c>
      <c r="G514" s="51"/>
      <c r="H514" s="91"/>
      <c r="I514" s="86"/>
      <c r="J514" s="86"/>
      <c r="K514" s="86"/>
      <c r="L514" s="86"/>
    </row>
    <row r="515" customFormat="false" ht="13.8" hidden="false" customHeight="false" outlineLevel="0" collapsed="false">
      <c r="A515" s="87" t="n">
        <f aca="false">A514+1</f>
        <v>334</v>
      </c>
      <c r="B515" s="76" t="str">
        <f aca="false">IF(WEEKDAY(C515,2)=1,"Mo",IF(WEEKDAY(C515,2)=2,"Di",IF(WEEKDAY(C515,2)=3,"Mi",IF(WEEKDAY(C515,2)=4,"Do.",IF(WEEKDAY(C515,2)=5,"Fr.",IF(WEEKDAY(C515,2)=6,"Sa.","So"))))))</f>
        <v>Sa.</v>
      </c>
      <c r="C515" s="88" t="n">
        <f aca="false">C514+1</f>
        <v>46417</v>
      </c>
      <c r="D515" s="89"/>
      <c r="E515" s="90"/>
      <c r="F515" s="76" t="s">
        <v>92</v>
      </c>
      <c r="G515" s="51"/>
      <c r="H515" s="91"/>
      <c r="I515" s="86"/>
      <c r="J515" s="86"/>
      <c r="K515" s="86"/>
      <c r="L515" s="86"/>
    </row>
    <row r="516" customFormat="false" ht="14.25" hidden="false" customHeight="true" outlineLevel="0" collapsed="false">
      <c r="A516" s="92" t="n">
        <f aca="false">A515+1</f>
        <v>335</v>
      </c>
      <c r="B516" s="77" t="str">
        <f aca="false">IF(WEEKDAY(C516,2)=1,"Mo",IF(WEEKDAY(C516,2)=2,"Di",IF(WEEKDAY(C516,2)=3,"Mi",IF(WEEKDAY(C516,2)=4,"Do.",IF(WEEKDAY(C516,2)=5,"Fr.",IF(WEEKDAY(C516,2)=6,"Sa.","So"))))))</f>
        <v>So</v>
      </c>
      <c r="C516" s="93" t="n">
        <f aca="false">C515+1</f>
        <v>46418</v>
      </c>
      <c r="D516" s="94"/>
      <c r="E516" s="95"/>
      <c r="F516" s="77" t="s">
        <v>92</v>
      </c>
      <c r="G516" s="61"/>
      <c r="H516" s="96"/>
      <c r="I516" s="86"/>
      <c r="J516" s="86"/>
      <c r="K516" s="86"/>
      <c r="L516" s="86"/>
      <c r="N516" s="63"/>
      <c r="O516" s="64" t="s">
        <v>212</v>
      </c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</row>
    <row r="517" customFormat="false" ht="13.5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N517" s="65"/>
      <c r="O517" s="1" t="s">
        <v>117</v>
      </c>
    </row>
    <row r="518" customFormat="false" ht="13.5" hidden="false" customHeight="false" outlineLevel="0" collapsed="false">
      <c r="A518" s="25" t="str">
        <f aca="false">Student_Name</f>
        <v>Hassine</v>
      </c>
      <c r="B518" s="25"/>
      <c r="C518" s="25"/>
      <c r="D518" s="25"/>
      <c r="E518" s="25"/>
      <c r="F518" s="25"/>
      <c r="G518" s="10"/>
      <c r="H518" s="25" t="str">
        <f aca="false">Ausbildungsbetrieb_Unternehmen</f>
        <v>Mechanische Werkstätte Schmidt e.K.</v>
      </c>
      <c r="I518" s="10"/>
      <c r="J518" s="10"/>
      <c r="K518" s="10"/>
      <c r="L518" s="10"/>
    </row>
    <row r="519" customFormat="false" ht="13.5" hidden="false" customHeight="false" outlineLevel="0" collapsed="false">
      <c r="A519" s="9" t="s">
        <v>31</v>
      </c>
      <c r="B519" s="9"/>
      <c r="C519" s="9"/>
      <c r="D519" s="9"/>
      <c r="E519" s="9"/>
      <c r="F519" s="9"/>
      <c r="G519" s="9"/>
      <c r="H519" s="9" t="s">
        <v>32</v>
      </c>
      <c r="I519" s="9"/>
      <c r="J519" s="9"/>
      <c r="K519" s="9"/>
      <c r="L519" s="9"/>
    </row>
    <row r="520" customFormat="false" ht="13.5" hidden="false" customHeight="false" outlineLevel="0" collapsed="false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</row>
    <row r="521" customFormat="false" ht="13.5" hidden="false" customHeight="false" outlineLevel="0" collapsed="false">
      <c r="A521" s="25" t="str">
        <f aca="false">Student_Vorname</f>
        <v>Houcine</v>
      </c>
      <c r="B521" s="25"/>
      <c r="C521" s="25"/>
      <c r="D521" s="25"/>
      <c r="E521" s="25"/>
      <c r="F521" s="25"/>
      <c r="G521" s="10"/>
      <c r="H521" s="25" t="str">
        <f aca="false">CONCATENATE(Ausbildungsbetrieb_Vorname, " ", Ausbildungsbetrieb_Name)</f>
        <v>Amine Halloul</v>
      </c>
      <c r="I521" s="10"/>
      <c r="J521" s="10"/>
      <c r="K521" s="10"/>
      <c r="L521" s="10"/>
    </row>
    <row r="522" customFormat="false" ht="13.5" hidden="false" customHeight="false" outlineLevel="0" collapsed="false">
      <c r="A522" s="9" t="s">
        <v>34</v>
      </c>
      <c r="B522" s="9"/>
      <c r="C522" s="9"/>
      <c r="D522" s="9"/>
      <c r="E522" s="9"/>
      <c r="F522" s="9"/>
      <c r="G522" s="9"/>
      <c r="H522" s="9" t="s">
        <v>82</v>
      </c>
      <c r="I522" s="9"/>
      <c r="J522" s="9"/>
      <c r="K522" s="9"/>
      <c r="L522" s="9"/>
    </row>
    <row r="523" customFormat="false" ht="13.5" hidden="false" customHeight="false" outlineLevel="0" collapsed="false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</row>
    <row r="524" customFormat="false" ht="13.5" hidden="false" customHeight="false" outlineLevel="0" collapsed="false">
      <c r="A524" s="25" t="str">
        <f aca="false">Student_Studiengruppe</f>
        <v>PA6</v>
      </c>
      <c r="B524" s="25"/>
      <c r="C524" s="25"/>
      <c r="D524" s="25"/>
      <c r="E524" s="25"/>
      <c r="F524" s="25"/>
      <c r="G524" s="10"/>
      <c r="H524" s="25" t="str">
        <f aca="false">Ausbildungsbetrieb_Email</f>
        <v>⟨E-Mail Betreuer⟩</v>
      </c>
      <c r="I524" s="10"/>
      <c r="J524" s="10"/>
      <c r="K524" s="10"/>
      <c r="L524" s="10"/>
    </row>
    <row r="525" customFormat="false" ht="13.5" hidden="false" customHeight="false" outlineLevel="0" collapsed="false">
      <c r="A525" s="9" t="s">
        <v>38</v>
      </c>
      <c r="B525" s="9"/>
      <c r="C525" s="9"/>
      <c r="D525" s="9"/>
      <c r="E525" s="9"/>
      <c r="F525" s="9"/>
      <c r="G525" s="9"/>
      <c r="H525" s="9" t="s">
        <v>83</v>
      </c>
      <c r="I525" s="9"/>
      <c r="J525" s="9"/>
      <c r="K525" s="9"/>
      <c r="L525" s="9"/>
    </row>
    <row r="526" customFormat="false" ht="13.5" hidden="false" customHeight="false" outlineLevel="0" collapsed="false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</row>
    <row r="527" customFormat="false" ht="13.5" hidden="false" customHeight="false" outlineLevel="0" collapsed="false">
      <c r="A527" s="25" t="str">
        <f aca="false">Student_Matrikelnummer</f>
        <v>3399727</v>
      </c>
      <c r="B527" s="25"/>
      <c r="C527" s="25"/>
      <c r="D527" s="25"/>
      <c r="E527" s="25"/>
      <c r="F527" s="25"/>
      <c r="G527" s="10"/>
      <c r="H527" s="25" t="str">
        <f aca="false">Ausbildungsbetrieb_Telefon</f>
        <v>⟨Telefon Betreuer⟩</v>
      </c>
      <c r="I527" s="10"/>
      <c r="J527" s="10"/>
      <c r="K527" s="10"/>
      <c r="L527" s="10"/>
    </row>
    <row r="528" customFormat="false" ht="13.5" hidden="false" customHeight="false" outlineLevel="0" collapsed="false">
      <c r="A528" s="9" t="s">
        <v>42</v>
      </c>
      <c r="B528" s="9"/>
      <c r="C528" s="9"/>
      <c r="D528" s="9"/>
      <c r="E528" s="9"/>
      <c r="F528" s="9"/>
      <c r="G528" s="9"/>
      <c r="H528" s="9" t="s">
        <v>84</v>
      </c>
      <c r="I528" s="9"/>
      <c r="J528" s="9"/>
      <c r="K528" s="9"/>
      <c r="L528" s="9"/>
    </row>
    <row r="529" customFormat="false" ht="14.25" hidden="false" customHeight="true" outlineLevel="0" collapsed="false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</row>
    <row r="530" customFormat="false" ht="13.5" hidden="false" customHeight="false" outlineLevel="0" collapsed="false">
      <c r="A530" s="27"/>
      <c r="B530" s="28"/>
      <c r="C530" s="28"/>
      <c r="D530" s="28"/>
      <c r="E530" s="28" t="s">
        <v>85</v>
      </c>
      <c r="F530" s="28"/>
      <c r="G530" s="28"/>
      <c r="H530" s="29" t="s">
        <v>86</v>
      </c>
      <c r="I530" s="30"/>
      <c r="J530" s="30"/>
      <c r="K530" s="30"/>
      <c r="L530" s="30"/>
    </row>
    <row r="531" customFormat="false" ht="14.25" hidden="false" customHeight="true" outlineLevel="0" collapsed="false">
      <c r="A531" s="31" t="s">
        <v>87</v>
      </c>
      <c r="B531" s="31"/>
      <c r="C531" s="32" t="s">
        <v>88</v>
      </c>
      <c r="D531" s="32"/>
      <c r="E531" s="33" t="s">
        <v>89</v>
      </c>
      <c r="F531" s="33"/>
      <c r="G531" s="33"/>
      <c r="H531" s="34" t="s">
        <v>90</v>
      </c>
      <c r="I531" s="30"/>
      <c r="J531" s="30"/>
      <c r="K531" s="30"/>
      <c r="L531" s="30"/>
    </row>
    <row r="532" customFormat="false" ht="13.8" hidden="false" customHeight="false" outlineLevel="0" collapsed="false">
      <c r="A532" s="81" t="n">
        <f aca="false">A516+1</f>
        <v>336</v>
      </c>
      <c r="B532" s="78" t="str">
        <f aca="false">IF(WEEKDAY(C532,2)=1,"Mo",IF(WEEKDAY(C532,2)=2,"Di",IF(WEEKDAY(C532,2)=3,"Mi",IF(WEEKDAY(C532,2)=4,"Do.",IF(WEEKDAY(C532,2)=5,"Fr.",IF(WEEKDAY(C532,2)=6,"Sa.","So"))))))</f>
        <v>Mo</v>
      </c>
      <c r="C532" s="82" t="n">
        <f aca="false">C516+1</f>
        <v>46419</v>
      </c>
      <c r="D532" s="83"/>
      <c r="E532" s="84"/>
      <c r="F532" s="78" t="s">
        <v>92</v>
      </c>
      <c r="G532" s="41"/>
      <c r="H532" s="85"/>
      <c r="I532" s="86"/>
      <c r="J532" s="86"/>
      <c r="K532" s="86"/>
      <c r="L532" s="86"/>
    </row>
    <row r="533" customFormat="false" ht="13.8" hidden="false" customHeight="false" outlineLevel="0" collapsed="false">
      <c r="A533" s="87" t="n">
        <f aca="false">A532+1</f>
        <v>337</v>
      </c>
      <c r="B533" s="76" t="str">
        <f aca="false">IF(WEEKDAY(C533,2)=1,"Mo",IF(WEEKDAY(C533,2)=2,"Di",IF(WEEKDAY(C533,2)=3,"Mi",IF(WEEKDAY(C533,2)=4,"Do.",IF(WEEKDAY(C533,2)=5,"Fr.",IF(WEEKDAY(C533,2)=6,"Sa.","So"))))))</f>
        <v>Di</v>
      </c>
      <c r="C533" s="88" t="n">
        <f aca="false">C532+1</f>
        <v>46420</v>
      </c>
      <c r="D533" s="89"/>
      <c r="E533" s="90"/>
      <c r="F533" s="76" t="s">
        <v>92</v>
      </c>
      <c r="G533" s="51"/>
      <c r="H533" s="91"/>
      <c r="I533" s="86"/>
      <c r="J533" s="86"/>
      <c r="K533" s="86"/>
      <c r="L533" s="86"/>
    </row>
    <row r="534" customFormat="false" ht="13.8" hidden="false" customHeight="false" outlineLevel="0" collapsed="false">
      <c r="A534" s="87" t="n">
        <f aca="false">A533+1</f>
        <v>338</v>
      </c>
      <c r="B534" s="76" t="str">
        <f aca="false">IF(WEEKDAY(C534,2)=1,"Mo",IF(WEEKDAY(C534,2)=2,"Di",IF(WEEKDAY(C534,2)=3,"Mi",IF(WEEKDAY(C534,2)=4,"Do.",IF(WEEKDAY(C534,2)=5,"Fr.",IF(WEEKDAY(C534,2)=6,"Sa.","So"))))))</f>
        <v>Mi</v>
      </c>
      <c r="C534" s="88" t="n">
        <f aca="false">C533+1</f>
        <v>46421</v>
      </c>
      <c r="D534" s="89"/>
      <c r="E534" s="90"/>
      <c r="F534" s="76" t="s">
        <v>92</v>
      </c>
      <c r="G534" s="51"/>
      <c r="H534" s="91"/>
      <c r="I534" s="86"/>
      <c r="J534" s="86"/>
      <c r="K534" s="86"/>
      <c r="L534" s="86"/>
    </row>
    <row r="535" customFormat="false" ht="13.8" hidden="false" customHeight="false" outlineLevel="0" collapsed="false">
      <c r="A535" s="87" t="n">
        <f aca="false">A534+1</f>
        <v>339</v>
      </c>
      <c r="B535" s="76" t="str">
        <f aca="false">IF(WEEKDAY(C535,2)=1,"Mo",IF(WEEKDAY(C535,2)=2,"Di",IF(WEEKDAY(C535,2)=3,"Mi",IF(WEEKDAY(C535,2)=4,"Do.",IF(WEEKDAY(C535,2)=5,"Fr.",IF(WEEKDAY(C535,2)=6,"Sa.","So"))))))</f>
        <v>Do.</v>
      </c>
      <c r="C535" s="88" t="n">
        <f aca="false">C534+1</f>
        <v>46422</v>
      </c>
      <c r="D535" s="89"/>
      <c r="E535" s="90"/>
      <c r="F535" s="76" t="s">
        <v>92</v>
      </c>
      <c r="G535" s="51"/>
      <c r="H535" s="91"/>
      <c r="I535" s="86"/>
      <c r="J535" s="86"/>
      <c r="K535" s="86"/>
      <c r="L535" s="86"/>
    </row>
    <row r="536" customFormat="false" ht="13.8" hidden="false" customHeight="false" outlineLevel="0" collapsed="false">
      <c r="A536" s="87" t="n">
        <f aca="false">A535+1</f>
        <v>340</v>
      </c>
      <c r="B536" s="76" t="str">
        <f aca="false">IF(WEEKDAY(C536,2)=1,"Mo",IF(WEEKDAY(C536,2)=2,"Di",IF(WEEKDAY(C536,2)=3,"Mi",IF(WEEKDAY(C536,2)=4,"Do.",IF(WEEKDAY(C536,2)=5,"Fr.",IF(WEEKDAY(C536,2)=6,"Sa.","So"))))))</f>
        <v>Fr.</v>
      </c>
      <c r="C536" s="88" t="n">
        <f aca="false">C535+1</f>
        <v>46423</v>
      </c>
      <c r="D536" s="89"/>
      <c r="E536" s="90"/>
      <c r="F536" s="76" t="s">
        <v>92</v>
      </c>
      <c r="G536" s="51"/>
      <c r="H536" s="91"/>
      <c r="I536" s="86"/>
      <c r="J536" s="86"/>
      <c r="K536" s="86"/>
      <c r="L536" s="86"/>
    </row>
    <row r="537" customFormat="false" ht="13.8" hidden="false" customHeight="false" outlineLevel="0" collapsed="false">
      <c r="A537" s="87" t="n">
        <f aca="false">A536+1</f>
        <v>341</v>
      </c>
      <c r="B537" s="76" t="str">
        <f aca="false">IF(WEEKDAY(C537,2)=1,"Mo",IF(WEEKDAY(C537,2)=2,"Di",IF(WEEKDAY(C537,2)=3,"Mi",IF(WEEKDAY(C537,2)=4,"Do.",IF(WEEKDAY(C537,2)=5,"Fr.",IF(WEEKDAY(C537,2)=6,"Sa.","So"))))))</f>
        <v>Sa.</v>
      </c>
      <c r="C537" s="88" t="n">
        <f aca="false">C536+1</f>
        <v>46424</v>
      </c>
      <c r="D537" s="89"/>
      <c r="E537" s="90"/>
      <c r="F537" s="76" t="s">
        <v>92</v>
      </c>
      <c r="G537" s="51"/>
      <c r="H537" s="91"/>
      <c r="I537" s="86"/>
      <c r="J537" s="86"/>
      <c r="K537" s="86"/>
      <c r="L537" s="86"/>
    </row>
    <row r="538" customFormat="false" ht="13.8" hidden="false" customHeight="false" outlineLevel="0" collapsed="false">
      <c r="A538" s="87" t="n">
        <f aca="false">A537+1</f>
        <v>342</v>
      </c>
      <c r="B538" s="76" t="str">
        <f aca="false">IF(WEEKDAY(C538,2)=1,"Mo",IF(WEEKDAY(C538,2)=2,"Di",IF(WEEKDAY(C538,2)=3,"Mi",IF(WEEKDAY(C538,2)=4,"Do.",IF(WEEKDAY(C538,2)=5,"Fr.",IF(WEEKDAY(C538,2)=6,"Sa.","So"))))))</f>
        <v>So</v>
      </c>
      <c r="C538" s="88" t="n">
        <f aca="false">C537+1</f>
        <v>46425</v>
      </c>
      <c r="D538" s="89"/>
      <c r="E538" s="90"/>
      <c r="F538" s="76" t="s">
        <v>92</v>
      </c>
      <c r="G538" s="51"/>
      <c r="H538" s="91"/>
      <c r="I538" s="86"/>
      <c r="J538" s="86"/>
      <c r="K538" s="86"/>
      <c r="L538" s="86"/>
    </row>
    <row r="539" customFormat="false" ht="13.8" hidden="false" customHeight="false" outlineLevel="0" collapsed="false">
      <c r="A539" s="87" t="n">
        <f aca="false">A538+1</f>
        <v>343</v>
      </c>
      <c r="B539" s="76" t="str">
        <f aca="false">IF(WEEKDAY(C539,2)=1,"Mo",IF(WEEKDAY(C539,2)=2,"Di",IF(WEEKDAY(C539,2)=3,"Mi",IF(WEEKDAY(C539,2)=4,"Do.",IF(WEEKDAY(C539,2)=5,"Fr.",IF(WEEKDAY(C539,2)=6,"Sa.","So"))))))</f>
        <v>Mo</v>
      </c>
      <c r="C539" s="88" t="n">
        <f aca="false">C538+1</f>
        <v>46426</v>
      </c>
      <c r="D539" s="89"/>
      <c r="E539" s="90"/>
      <c r="F539" s="76" t="s">
        <v>92</v>
      </c>
      <c r="G539" s="51"/>
      <c r="H539" s="91"/>
      <c r="I539" s="86"/>
      <c r="J539" s="86"/>
      <c r="K539" s="86"/>
      <c r="L539" s="86"/>
    </row>
    <row r="540" customFormat="false" ht="13.8" hidden="false" customHeight="false" outlineLevel="0" collapsed="false">
      <c r="A540" s="87" t="n">
        <f aca="false">A539+1</f>
        <v>344</v>
      </c>
      <c r="B540" s="76" t="str">
        <f aca="false">IF(WEEKDAY(C540,2)=1,"Mo",IF(WEEKDAY(C540,2)=2,"Di",IF(WEEKDAY(C540,2)=3,"Mi",IF(WEEKDAY(C540,2)=4,"Do.",IF(WEEKDAY(C540,2)=5,"Fr.",IF(WEEKDAY(C540,2)=6,"Sa.","So"))))))</f>
        <v>Di</v>
      </c>
      <c r="C540" s="88" t="n">
        <f aca="false">C539+1</f>
        <v>46427</v>
      </c>
      <c r="D540" s="89"/>
      <c r="E540" s="90"/>
      <c r="F540" s="76" t="s">
        <v>92</v>
      </c>
      <c r="G540" s="51"/>
      <c r="H540" s="91"/>
      <c r="I540" s="86"/>
      <c r="J540" s="86"/>
      <c r="K540" s="86"/>
      <c r="L540" s="86"/>
    </row>
    <row r="541" customFormat="false" ht="13.8" hidden="false" customHeight="false" outlineLevel="0" collapsed="false">
      <c r="A541" s="87" t="n">
        <f aca="false">A540+1</f>
        <v>345</v>
      </c>
      <c r="B541" s="76" t="str">
        <f aca="false">IF(WEEKDAY(C541,2)=1,"Mo",IF(WEEKDAY(C541,2)=2,"Di",IF(WEEKDAY(C541,2)=3,"Mi",IF(WEEKDAY(C541,2)=4,"Do.",IF(WEEKDAY(C541,2)=5,"Fr.",IF(WEEKDAY(C541,2)=6,"Sa.","So"))))))</f>
        <v>Mi</v>
      </c>
      <c r="C541" s="88" t="n">
        <f aca="false">C540+1</f>
        <v>46428</v>
      </c>
      <c r="D541" s="89"/>
      <c r="E541" s="90"/>
      <c r="F541" s="76" t="s">
        <v>92</v>
      </c>
      <c r="G541" s="51"/>
      <c r="H541" s="91"/>
      <c r="I541" s="86"/>
      <c r="J541" s="86"/>
      <c r="K541" s="86"/>
      <c r="L541" s="86"/>
    </row>
    <row r="542" customFormat="false" ht="13.8" hidden="false" customHeight="false" outlineLevel="0" collapsed="false">
      <c r="A542" s="87" t="n">
        <f aca="false">A541+1</f>
        <v>346</v>
      </c>
      <c r="B542" s="76" t="str">
        <f aca="false">IF(WEEKDAY(C542,2)=1,"Mo",IF(WEEKDAY(C542,2)=2,"Di",IF(WEEKDAY(C542,2)=3,"Mi",IF(WEEKDAY(C542,2)=4,"Do.",IF(WEEKDAY(C542,2)=5,"Fr.",IF(WEEKDAY(C542,2)=6,"Sa.","So"))))))</f>
        <v>Do.</v>
      </c>
      <c r="C542" s="88" t="n">
        <f aca="false">C541+1</f>
        <v>46429</v>
      </c>
      <c r="D542" s="89"/>
      <c r="E542" s="90"/>
      <c r="F542" s="76" t="s">
        <v>92</v>
      </c>
      <c r="G542" s="51"/>
      <c r="H542" s="91"/>
      <c r="I542" s="86"/>
      <c r="J542" s="86"/>
      <c r="K542" s="86"/>
      <c r="L542" s="86"/>
    </row>
    <row r="543" customFormat="false" ht="13.8" hidden="false" customHeight="false" outlineLevel="0" collapsed="false">
      <c r="A543" s="87" t="n">
        <f aca="false">A542+1</f>
        <v>347</v>
      </c>
      <c r="B543" s="76" t="str">
        <f aca="false">IF(WEEKDAY(C543,2)=1,"Mo",IF(WEEKDAY(C543,2)=2,"Di",IF(WEEKDAY(C543,2)=3,"Mi",IF(WEEKDAY(C543,2)=4,"Do.",IF(WEEKDAY(C543,2)=5,"Fr.",IF(WEEKDAY(C543,2)=6,"Sa.","So"))))))</f>
        <v>Fr.</v>
      </c>
      <c r="C543" s="88" t="n">
        <f aca="false">C542+1</f>
        <v>46430</v>
      </c>
      <c r="D543" s="89"/>
      <c r="E543" s="90"/>
      <c r="F543" s="76" t="s">
        <v>92</v>
      </c>
      <c r="G543" s="51"/>
      <c r="H543" s="91"/>
      <c r="I543" s="86"/>
      <c r="J543" s="86"/>
      <c r="K543" s="86"/>
      <c r="L543" s="86"/>
    </row>
    <row r="544" customFormat="false" ht="13.8" hidden="false" customHeight="false" outlineLevel="0" collapsed="false">
      <c r="A544" s="87" t="n">
        <f aca="false">A543+1</f>
        <v>348</v>
      </c>
      <c r="B544" s="76" t="str">
        <f aca="false">IF(WEEKDAY(C544,2)=1,"Mo",IF(WEEKDAY(C544,2)=2,"Di",IF(WEEKDAY(C544,2)=3,"Mi",IF(WEEKDAY(C544,2)=4,"Do.",IF(WEEKDAY(C544,2)=5,"Fr.",IF(WEEKDAY(C544,2)=6,"Sa.","So"))))))</f>
        <v>Sa.</v>
      </c>
      <c r="C544" s="88" t="n">
        <f aca="false">C543+1</f>
        <v>46431</v>
      </c>
      <c r="D544" s="89"/>
      <c r="E544" s="90"/>
      <c r="F544" s="76" t="s">
        <v>92</v>
      </c>
      <c r="G544" s="51"/>
      <c r="H544" s="91"/>
      <c r="I544" s="86"/>
      <c r="J544" s="86"/>
      <c r="K544" s="86"/>
      <c r="L544" s="86"/>
    </row>
    <row r="545" customFormat="false" ht="13.8" hidden="false" customHeight="false" outlineLevel="0" collapsed="false">
      <c r="A545" s="87" t="n">
        <f aca="false">A544+1</f>
        <v>349</v>
      </c>
      <c r="B545" s="76" t="str">
        <f aca="false">IF(WEEKDAY(C545,2)=1,"Mo",IF(WEEKDAY(C545,2)=2,"Di",IF(WEEKDAY(C545,2)=3,"Mi",IF(WEEKDAY(C545,2)=4,"Do.",IF(WEEKDAY(C545,2)=5,"Fr.",IF(WEEKDAY(C545,2)=6,"Sa.","So"))))))</f>
        <v>So</v>
      </c>
      <c r="C545" s="88" t="n">
        <f aca="false">C544+1</f>
        <v>46432</v>
      </c>
      <c r="D545" s="89"/>
      <c r="E545" s="90"/>
      <c r="F545" s="76" t="s">
        <v>92</v>
      </c>
      <c r="G545" s="51"/>
      <c r="H545" s="91"/>
      <c r="I545" s="86"/>
      <c r="J545" s="86"/>
      <c r="K545" s="86"/>
      <c r="L545" s="86"/>
    </row>
    <row r="546" customFormat="false" ht="13.8" hidden="false" customHeight="false" outlineLevel="0" collapsed="false">
      <c r="A546" s="87" t="n">
        <f aca="false">A545+1</f>
        <v>350</v>
      </c>
      <c r="B546" s="76" t="str">
        <f aca="false">IF(WEEKDAY(C546,2)=1,"Mo",IF(WEEKDAY(C546,2)=2,"Di",IF(WEEKDAY(C546,2)=3,"Mi",IF(WEEKDAY(C546,2)=4,"Do.",IF(WEEKDAY(C546,2)=5,"Fr.",IF(WEEKDAY(C546,2)=6,"Sa.","So"))))))</f>
        <v>Mo</v>
      </c>
      <c r="C546" s="88" t="n">
        <f aca="false">C545+1</f>
        <v>46433</v>
      </c>
      <c r="D546" s="89"/>
      <c r="E546" s="90"/>
      <c r="F546" s="76" t="s">
        <v>92</v>
      </c>
      <c r="G546" s="51"/>
      <c r="H546" s="91"/>
      <c r="I546" s="86"/>
      <c r="J546" s="86"/>
      <c r="K546" s="86"/>
      <c r="L546" s="86"/>
    </row>
    <row r="547" customFormat="false" ht="13.8" hidden="false" customHeight="false" outlineLevel="0" collapsed="false">
      <c r="A547" s="87" t="n">
        <f aca="false">A546+1</f>
        <v>351</v>
      </c>
      <c r="B547" s="76" t="str">
        <f aca="false">IF(WEEKDAY(C547,2)=1,"Mo",IF(WEEKDAY(C547,2)=2,"Di",IF(WEEKDAY(C547,2)=3,"Mi",IF(WEEKDAY(C547,2)=4,"Do.",IF(WEEKDAY(C547,2)=5,"Fr.",IF(WEEKDAY(C547,2)=6,"Sa.","So"))))))</f>
        <v>Di</v>
      </c>
      <c r="C547" s="88" t="n">
        <f aca="false">C546+1</f>
        <v>46434</v>
      </c>
      <c r="D547" s="89"/>
      <c r="E547" s="90"/>
      <c r="F547" s="76" t="s">
        <v>92</v>
      </c>
      <c r="G547" s="51"/>
      <c r="H547" s="91"/>
      <c r="I547" s="86"/>
      <c r="J547" s="86"/>
      <c r="K547" s="86"/>
      <c r="L547" s="86"/>
    </row>
    <row r="548" customFormat="false" ht="13.8" hidden="false" customHeight="false" outlineLevel="0" collapsed="false">
      <c r="A548" s="87" t="n">
        <f aca="false">A547+1</f>
        <v>352</v>
      </c>
      <c r="B548" s="76" t="str">
        <f aca="false">IF(WEEKDAY(C548,2)=1,"Mo",IF(WEEKDAY(C548,2)=2,"Di",IF(WEEKDAY(C548,2)=3,"Mi",IF(WEEKDAY(C548,2)=4,"Do.",IF(WEEKDAY(C548,2)=5,"Fr.",IF(WEEKDAY(C548,2)=6,"Sa.","So"))))))</f>
        <v>Mi</v>
      </c>
      <c r="C548" s="88" t="n">
        <f aca="false">C547+1</f>
        <v>46435</v>
      </c>
      <c r="D548" s="89"/>
      <c r="E548" s="90"/>
      <c r="F548" s="76" t="s">
        <v>92</v>
      </c>
      <c r="G548" s="51"/>
      <c r="H548" s="91"/>
      <c r="I548" s="86"/>
      <c r="J548" s="86"/>
      <c r="K548" s="86"/>
      <c r="L548" s="86"/>
    </row>
    <row r="549" customFormat="false" ht="13.8" hidden="false" customHeight="false" outlineLevel="0" collapsed="false">
      <c r="A549" s="87" t="n">
        <f aca="false">A548+1</f>
        <v>353</v>
      </c>
      <c r="B549" s="76" t="str">
        <f aca="false">IF(WEEKDAY(C549,2)=1,"Mo",IF(WEEKDAY(C549,2)=2,"Di",IF(WEEKDAY(C549,2)=3,"Mi",IF(WEEKDAY(C549,2)=4,"Do.",IF(WEEKDAY(C549,2)=5,"Fr.",IF(WEEKDAY(C549,2)=6,"Sa.","So"))))))</f>
        <v>Do.</v>
      </c>
      <c r="C549" s="88" t="n">
        <f aca="false">C548+1</f>
        <v>46436</v>
      </c>
      <c r="D549" s="89"/>
      <c r="E549" s="90"/>
      <c r="F549" s="76" t="s">
        <v>92</v>
      </c>
      <c r="G549" s="51"/>
      <c r="H549" s="91"/>
      <c r="I549" s="86"/>
      <c r="J549" s="86"/>
      <c r="K549" s="86"/>
      <c r="L549" s="86"/>
    </row>
    <row r="550" customFormat="false" ht="13.8" hidden="false" customHeight="false" outlineLevel="0" collapsed="false">
      <c r="A550" s="87" t="n">
        <f aca="false">A549+1</f>
        <v>354</v>
      </c>
      <c r="B550" s="76" t="str">
        <f aca="false">IF(WEEKDAY(C550,2)=1,"Mo",IF(WEEKDAY(C550,2)=2,"Di",IF(WEEKDAY(C550,2)=3,"Mi",IF(WEEKDAY(C550,2)=4,"Do.",IF(WEEKDAY(C550,2)=5,"Fr.",IF(WEEKDAY(C550,2)=6,"Sa.","So"))))))</f>
        <v>Fr.</v>
      </c>
      <c r="C550" s="88" t="n">
        <f aca="false">C549+1</f>
        <v>46437</v>
      </c>
      <c r="D550" s="89"/>
      <c r="E550" s="90"/>
      <c r="F550" s="76" t="s">
        <v>92</v>
      </c>
      <c r="G550" s="51"/>
      <c r="H550" s="91"/>
      <c r="I550" s="86"/>
      <c r="J550" s="86"/>
      <c r="K550" s="86"/>
      <c r="L550" s="86"/>
    </row>
    <row r="551" customFormat="false" ht="13.8" hidden="false" customHeight="false" outlineLevel="0" collapsed="false">
      <c r="A551" s="87" t="n">
        <f aca="false">A550+1</f>
        <v>355</v>
      </c>
      <c r="B551" s="76" t="str">
        <f aca="false">IF(WEEKDAY(C551,2)=1,"Mo",IF(WEEKDAY(C551,2)=2,"Di",IF(WEEKDAY(C551,2)=3,"Mi",IF(WEEKDAY(C551,2)=4,"Do.",IF(WEEKDAY(C551,2)=5,"Fr.",IF(WEEKDAY(C551,2)=6,"Sa.","So"))))))</f>
        <v>Sa.</v>
      </c>
      <c r="C551" s="88" t="n">
        <f aca="false">C550+1</f>
        <v>46438</v>
      </c>
      <c r="D551" s="89"/>
      <c r="E551" s="90"/>
      <c r="F551" s="76" t="s">
        <v>92</v>
      </c>
      <c r="G551" s="51"/>
      <c r="H551" s="91"/>
      <c r="I551" s="86"/>
      <c r="J551" s="86"/>
      <c r="K551" s="86"/>
      <c r="L551" s="86"/>
    </row>
    <row r="552" customFormat="false" ht="13.8" hidden="false" customHeight="false" outlineLevel="0" collapsed="false">
      <c r="A552" s="87" t="n">
        <f aca="false">A551+1</f>
        <v>356</v>
      </c>
      <c r="B552" s="76" t="str">
        <f aca="false">IF(WEEKDAY(C552,2)=1,"Mo",IF(WEEKDAY(C552,2)=2,"Di",IF(WEEKDAY(C552,2)=3,"Mi",IF(WEEKDAY(C552,2)=4,"Do.",IF(WEEKDAY(C552,2)=5,"Fr.",IF(WEEKDAY(C552,2)=6,"Sa.","So"))))))</f>
        <v>So</v>
      </c>
      <c r="C552" s="88" t="n">
        <f aca="false">C551+1</f>
        <v>46439</v>
      </c>
      <c r="D552" s="89"/>
      <c r="E552" s="90"/>
      <c r="F552" s="76" t="s">
        <v>92</v>
      </c>
      <c r="G552" s="51"/>
      <c r="H552" s="91"/>
      <c r="I552" s="86"/>
      <c r="J552" s="86"/>
      <c r="K552" s="86"/>
      <c r="L552" s="86"/>
    </row>
    <row r="553" customFormat="false" ht="13.8" hidden="false" customHeight="false" outlineLevel="0" collapsed="false">
      <c r="A553" s="87" t="n">
        <f aca="false">A552+1</f>
        <v>357</v>
      </c>
      <c r="B553" s="76" t="str">
        <f aca="false">IF(WEEKDAY(C553,2)=1,"Mo",IF(WEEKDAY(C553,2)=2,"Di",IF(WEEKDAY(C553,2)=3,"Mi",IF(WEEKDAY(C553,2)=4,"Do.",IF(WEEKDAY(C553,2)=5,"Fr.",IF(WEEKDAY(C553,2)=6,"Sa.","So"))))))</f>
        <v>Mo</v>
      </c>
      <c r="C553" s="88" t="n">
        <f aca="false">C552+1</f>
        <v>46440</v>
      </c>
      <c r="D553" s="89"/>
      <c r="E553" s="90"/>
      <c r="F553" s="76" t="s">
        <v>92</v>
      </c>
      <c r="G553" s="51"/>
      <c r="H553" s="91"/>
      <c r="I553" s="86"/>
      <c r="J553" s="86"/>
      <c r="K553" s="86"/>
      <c r="L553" s="86"/>
    </row>
    <row r="554" customFormat="false" ht="13.8" hidden="false" customHeight="false" outlineLevel="0" collapsed="false">
      <c r="A554" s="87" t="n">
        <f aca="false">A553+1</f>
        <v>358</v>
      </c>
      <c r="B554" s="76" t="str">
        <f aca="false">IF(WEEKDAY(C554,2)=1,"Mo",IF(WEEKDAY(C554,2)=2,"Di",IF(WEEKDAY(C554,2)=3,"Mi",IF(WEEKDAY(C554,2)=4,"Do.",IF(WEEKDAY(C554,2)=5,"Fr.",IF(WEEKDAY(C554,2)=6,"Sa.","So"))))))</f>
        <v>Di</v>
      </c>
      <c r="C554" s="88" t="n">
        <f aca="false">C553+1</f>
        <v>46441</v>
      </c>
      <c r="D554" s="89"/>
      <c r="E554" s="90"/>
      <c r="F554" s="76" t="s">
        <v>92</v>
      </c>
      <c r="G554" s="51"/>
      <c r="H554" s="91"/>
      <c r="I554" s="86"/>
      <c r="J554" s="86"/>
      <c r="K554" s="86"/>
      <c r="L554" s="86"/>
    </row>
    <row r="555" customFormat="false" ht="13.8" hidden="false" customHeight="false" outlineLevel="0" collapsed="false">
      <c r="A555" s="87" t="n">
        <f aca="false">A554+1</f>
        <v>359</v>
      </c>
      <c r="B555" s="76" t="str">
        <f aca="false">IF(WEEKDAY(C555,2)=1,"Mo",IF(WEEKDAY(C555,2)=2,"Di",IF(WEEKDAY(C555,2)=3,"Mi",IF(WEEKDAY(C555,2)=4,"Do.",IF(WEEKDAY(C555,2)=5,"Fr.",IF(WEEKDAY(C555,2)=6,"Sa.","So"))))))</f>
        <v>Mi</v>
      </c>
      <c r="C555" s="88" t="n">
        <f aca="false">C554+1</f>
        <v>46442</v>
      </c>
      <c r="D555" s="89"/>
      <c r="E555" s="90"/>
      <c r="F555" s="76" t="s">
        <v>92</v>
      </c>
      <c r="G555" s="51"/>
      <c r="H555" s="91"/>
      <c r="I555" s="86"/>
      <c r="J555" s="86"/>
      <c r="K555" s="86"/>
      <c r="L555" s="86"/>
    </row>
    <row r="556" customFormat="false" ht="13.8" hidden="false" customHeight="false" outlineLevel="0" collapsed="false">
      <c r="A556" s="87" t="n">
        <f aca="false">A555+1</f>
        <v>360</v>
      </c>
      <c r="B556" s="76" t="str">
        <f aca="false">IF(WEEKDAY(C556,2)=1,"Mo",IF(WEEKDAY(C556,2)=2,"Di",IF(WEEKDAY(C556,2)=3,"Mi",IF(WEEKDAY(C556,2)=4,"Do.",IF(WEEKDAY(C556,2)=5,"Fr.",IF(WEEKDAY(C556,2)=6,"Sa.","So"))))))</f>
        <v>Do.</v>
      </c>
      <c r="C556" s="88" t="n">
        <f aca="false">C555+1</f>
        <v>46443</v>
      </c>
      <c r="D556" s="89"/>
      <c r="E556" s="90"/>
      <c r="F556" s="76" t="s">
        <v>92</v>
      </c>
      <c r="G556" s="51"/>
      <c r="H556" s="91"/>
      <c r="I556" s="86"/>
      <c r="J556" s="86"/>
      <c r="K556" s="86"/>
      <c r="L556" s="86"/>
    </row>
    <row r="557" customFormat="false" ht="13.8" hidden="false" customHeight="false" outlineLevel="0" collapsed="false">
      <c r="A557" s="87" t="n">
        <f aca="false">A556+1</f>
        <v>361</v>
      </c>
      <c r="B557" s="76" t="str">
        <f aca="false">IF(WEEKDAY(C557,2)=1,"Mo",IF(WEEKDAY(C557,2)=2,"Di",IF(WEEKDAY(C557,2)=3,"Mi",IF(WEEKDAY(C557,2)=4,"Do.",IF(WEEKDAY(C557,2)=5,"Fr.",IF(WEEKDAY(C557,2)=6,"Sa.","So"))))))</f>
        <v>Fr.</v>
      </c>
      <c r="C557" s="88" t="n">
        <f aca="false">C556+1</f>
        <v>46444</v>
      </c>
      <c r="D557" s="89"/>
      <c r="E557" s="90"/>
      <c r="F557" s="76" t="s">
        <v>92</v>
      </c>
      <c r="G557" s="51"/>
      <c r="H557" s="91"/>
      <c r="I557" s="86"/>
      <c r="J557" s="86"/>
      <c r="K557" s="86"/>
      <c r="L557" s="86"/>
    </row>
    <row r="558" customFormat="false" ht="13.8" hidden="false" customHeight="false" outlineLevel="0" collapsed="false">
      <c r="A558" s="87" t="n">
        <f aca="false">A557+1</f>
        <v>362</v>
      </c>
      <c r="B558" s="76" t="str">
        <f aca="false">IF(WEEKDAY(C558,2)=1,"Mo",IF(WEEKDAY(C558,2)=2,"Di",IF(WEEKDAY(C558,2)=3,"Mi",IF(WEEKDAY(C558,2)=4,"Do.",IF(WEEKDAY(C558,2)=5,"Fr.",IF(WEEKDAY(C558,2)=6,"Sa.","So"))))))</f>
        <v>Sa.</v>
      </c>
      <c r="C558" s="88" t="n">
        <f aca="false">C557+1</f>
        <v>46445</v>
      </c>
      <c r="D558" s="89"/>
      <c r="E558" s="90"/>
      <c r="F558" s="76" t="s">
        <v>92</v>
      </c>
      <c r="G558" s="51"/>
      <c r="H558" s="91"/>
      <c r="I558" s="86"/>
      <c r="J558" s="86"/>
      <c r="K558" s="86"/>
      <c r="L558" s="86"/>
    </row>
    <row r="559" customFormat="false" ht="14.25" hidden="false" customHeight="true" outlineLevel="0" collapsed="false">
      <c r="A559" s="92" t="n">
        <f aca="false">A558+1</f>
        <v>363</v>
      </c>
      <c r="B559" s="77" t="str">
        <f aca="false">IF(WEEKDAY(C559,2)=1,"Mo",IF(WEEKDAY(C559,2)=2,"Di",IF(WEEKDAY(C559,2)=3,"Mi",IF(WEEKDAY(C559,2)=4,"Do.",IF(WEEKDAY(C559,2)=5,"Fr.",IF(WEEKDAY(C559,2)=6,"Sa.","So"))))))</f>
        <v>So</v>
      </c>
      <c r="C559" s="93" t="n">
        <f aca="false">C558+1</f>
        <v>46446</v>
      </c>
      <c r="D559" s="94"/>
      <c r="E559" s="95"/>
      <c r="F559" s="77" t="s">
        <v>92</v>
      </c>
      <c r="G559" s="61"/>
      <c r="H559" s="96"/>
      <c r="I559" s="86"/>
      <c r="J559" s="86"/>
      <c r="K559" s="86"/>
      <c r="L559" s="86"/>
      <c r="N559" s="63"/>
      <c r="O559" s="64" t="s">
        <v>212</v>
      </c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</row>
    <row r="560" customFormat="false" ht="13.5" hidden="false" customHeight="false" outlineLevel="0" collapsed="false">
      <c r="N560" s="65"/>
      <c r="O560" s="1" t="s">
        <v>117</v>
      </c>
    </row>
  </sheetData>
  <sheetProtection algorithmName="SHA-512" hashValue="0pLld3xGiYx68leeBk60B8xPVEUfXavTkLATUyCy8Lvz79HH6WBAO228/FcxbGPe+Rv7eRlUpMhKtX2lP+tCFw==" saltValue="hgkCgzkffXn2gUmLglYY2A==" spinCount="100000" sheet="true" objects="true" scenarios="true" formatCells="false" formatColumns="false" formatRows="false" insertColumns="false" insertRows="false" insertHyperlinks="false" deleteColumns="false" deleteRows="false" selectLockedCells="true" sort="false" autoFilter="false" pivotTables="false"/>
  <mergeCells count="78">
    <mergeCell ref="A2:F2"/>
    <mergeCell ref="A5:F5"/>
    <mergeCell ref="A8:F8"/>
    <mergeCell ref="A11:F11"/>
    <mergeCell ref="A15:B15"/>
    <mergeCell ref="E15:F15"/>
    <mergeCell ref="A45:F45"/>
    <mergeCell ref="A48:F48"/>
    <mergeCell ref="A51:F51"/>
    <mergeCell ref="A54:F54"/>
    <mergeCell ref="A58:B58"/>
    <mergeCell ref="E58:F58"/>
    <mergeCell ref="A88:F88"/>
    <mergeCell ref="A91:F91"/>
    <mergeCell ref="A94:F94"/>
    <mergeCell ref="A97:F97"/>
    <mergeCell ref="A101:B101"/>
    <mergeCell ref="E101:F101"/>
    <mergeCell ref="A131:F131"/>
    <mergeCell ref="A134:F134"/>
    <mergeCell ref="A137:F137"/>
    <mergeCell ref="A140:F140"/>
    <mergeCell ref="A144:B144"/>
    <mergeCell ref="E144:F144"/>
    <mergeCell ref="A174:F174"/>
    <mergeCell ref="A177:F177"/>
    <mergeCell ref="A180:F180"/>
    <mergeCell ref="A183:F183"/>
    <mergeCell ref="A187:B187"/>
    <mergeCell ref="E187:F187"/>
    <mergeCell ref="A217:F217"/>
    <mergeCell ref="A220:F220"/>
    <mergeCell ref="A223:F223"/>
    <mergeCell ref="A226:F226"/>
    <mergeCell ref="A230:B230"/>
    <mergeCell ref="E230:F230"/>
    <mergeCell ref="A260:F260"/>
    <mergeCell ref="A263:F263"/>
    <mergeCell ref="A266:F266"/>
    <mergeCell ref="A269:F269"/>
    <mergeCell ref="A273:B273"/>
    <mergeCell ref="E273:F273"/>
    <mergeCell ref="A303:F303"/>
    <mergeCell ref="A306:F306"/>
    <mergeCell ref="A309:F309"/>
    <mergeCell ref="A312:F312"/>
    <mergeCell ref="A316:B316"/>
    <mergeCell ref="E316:F316"/>
    <mergeCell ref="A346:F346"/>
    <mergeCell ref="A349:F349"/>
    <mergeCell ref="A352:F352"/>
    <mergeCell ref="A355:F355"/>
    <mergeCell ref="A359:B359"/>
    <mergeCell ref="E359:F359"/>
    <mergeCell ref="A389:F389"/>
    <mergeCell ref="A392:F392"/>
    <mergeCell ref="A395:F395"/>
    <mergeCell ref="A398:F398"/>
    <mergeCell ref="A402:B402"/>
    <mergeCell ref="E402:F402"/>
    <mergeCell ref="A432:F432"/>
    <mergeCell ref="A435:F435"/>
    <mergeCell ref="A438:F438"/>
    <mergeCell ref="A441:F441"/>
    <mergeCell ref="A445:B445"/>
    <mergeCell ref="E445:F445"/>
    <mergeCell ref="A475:F475"/>
    <mergeCell ref="A478:F478"/>
    <mergeCell ref="A481:F481"/>
    <mergeCell ref="A484:F484"/>
    <mergeCell ref="A488:B488"/>
    <mergeCell ref="E488:F488"/>
    <mergeCell ref="A518:F518"/>
    <mergeCell ref="A521:F521"/>
    <mergeCell ref="A524:F524"/>
    <mergeCell ref="A527:F527"/>
    <mergeCell ref="A531:B531"/>
    <mergeCell ref="E531:F531"/>
  </mergeCells>
  <dataValidations count="3">
    <dataValidation allowBlank="true" error="Bitte geben Sie nur &quot;ja&quot; oder &quot;nein&quot; ein." errorStyle="information" errorTitle="Korrekte EIngabe beachten" operator="between" prompt="Bitte geben Sie hier &quot;ja&quot; an, wenn Sie an diesem Tag eine begleitende Lehrveranstaltung besucht haben. Alle anderen Lehrveranstaltungen sind hier nicht zu berücksichtigen." promptTitle="begleitende Lehrveranstaltung" showDropDown="false" showErrorMessage="true" showInputMessage="true" sqref="G16:G43 G59:G86 G102:G129 G145:G172 G188:G215 G231:G258 G274:G301 G317:G344 G360:G387 G403:G430 G446:G473 G489:G516 G532:G559" type="list">
      <formula1>"ja,nein"</formula1>
      <formula2>0</formula2>
    </dataValidation>
    <dataValidation allowBlank="true" error="Bitte beachten Sie das vorgegebene Eingabeformat&#10;" errorStyle="stop" errorTitle="Eingabe beachten" operator="between" prompt="Geben Sie bitte als Dezimalzahl ihre Arbeitszeit (Anwesenheitszeit) am genannten Tag ein. 7 Stunden und 30 Minuten &gt;&gt; 7,5 .&#10;Sie können die Anwesenheitszeit auf die Viertelstunde aufrunden." promptTitle="Eingabe Arbeitszeit" showDropDown="false" showErrorMessage="true" showInputMessage="true" sqref="E16:E43 E59:E86 E102:E129 E145:E172 E188:E215 E231:E258 E274:E301 E317:E344 E360:E387 E403:E430 E446:E473 E489:E516 E532:E559" type="decimal">
      <formula1>0</formula1>
      <formula2>24</formula2>
    </dataValidation>
    <dataValidation allowBlank="true" errorStyle="information" operator="between" showDropDown="false" showErrorMessage="true" showInputMessage="true" sqref="M16:M43 M59:M60" type="list">
      <formula1>"001 - Beschreibung nicht ausreichend,002 - Stundenangabe nicht plausibel,003 - keine Vorlesung angeboten,004 - keine Vorlesung angeboten,005 - Abwesenheit,006 - keine relevante Tätigkeit,999 - Sonstiges"</formula1>
      <formula2>0</formula2>
    </dataValidation>
  </dataValidations>
  <printOptions headings="false" gridLines="false" gridLinesSet="true" horizontalCentered="false" verticalCentered="false"/>
  <pageMargins left="0.708333333333333" right="0.708333333333333" top="1.18125" bottom="1.18125" header="0.275694444444444" footer="0.275694444444444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>&amp;L_x005F_x000a__x005F_x000a_&amp;C&amp;"Calibri,Bold"Tätigkeitsbericht _x005F_x000a_Pflichtpraktikum&amp;R_x005F_x000a_&amp;D_x005F_x000a_&amp;P von &amp;N</oddHeader>
    <oddFooter>&amp;L_x005F_x000a__x005F_x000a_Bestätigung des Ausbildungsbetriebes: _x005F_x000a__x005F_x000a__x005F_x000a__x005F_x000a__________________        __________________________________x005F_x000a_Datum                                   Unterschrift und Firmenstempel</oddFooter>
  </headerFooter>
  <rowBreaks count="12" manualBreakCount="12">
    <brk id="43" man="true" max="16383" min="0"/>
    <brk id="86" man="true" max="16383" min="0"/>
    <brk id="129" man="true" max="16383" min="0"/>
    <brk id="172" man="true" max="16383" min="0"/>
    <brk id="215" man="true" max="16383" min="0"/>
    <brk id="258" man="true" max="16383" min="0"/>
    <brk id="301" man="true" max="16383" min="0"/>
    <brk id="344" man="true" max="16383" min="0"/>
    <brk id="387" man="true" max="16383" min="0"/>
    <brk id="430" man="true" max="16383" min="0"/>
    <brk id="473" man="true" max="16383" min="0"/>
    <brk id="516" man="true" max="16383" min="0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selection pane="topLeft" activeCell="G37" activeCellId="0" sqref="G37"/>
    </sheetView>
  </sheetViews>
  <sheetFormatPr defaultColWidth="10.765625" defaultRowHeight="15" zeroHeight="false" outlineLevelRow="0" outlineLevelCol="0"/>
  <cols>
    <col collapsed="false" customWidth="true" hidden="false" outlineLevel="0" max="2" min="2" style="0" width="52.19"/>
    <col collapsed="false" customWidth="true" hidden="false" outlineLevel="0" max="5" min="5" style="0" width="40.76"/>
    <col collapsed="false" customWidth="true" hidden="false" outlineLevel="0" max="7" min="7" style="0" width="89.99"/>
  </cols>
  <sheetData>
    <row r="1" customFormat="false" ht="15" hidden="false" customHeight="false" outlineLevel="0" collapsed="false">
      <c r="A1" s="0" t="s">
        <v>91</v>
      </c>
      <c r="B1" s="0" t="s">
        <v>213</v>
      </c>
      <c r="E1" s="0" t="s">
        <v>70</v>
      </c>
      <c r="G1" s="0" t="s">
        <v>77</v>
      </c>
    </row>
    <row r="2" customFormat="false" ht="15" hidden="false" customHeight="false" outlineLevel="0" collapsed="false">
      <c r="A2" s="0" t="s">
        <v>109</v>
      </c>
      <c r="B2" s="0" t="s">
        <v>214</v>
      </c>
      <c r="E2" s="0" t="s">
        <v>215</v>
      </c>
      <c r="G2" s="0" t="s">
        <v>216</v>
      </c>
    </row>
    <row r="3" customFormat="false" ht="15" hidden="false" customHeight="false" outlineLevel="0" collapsed="false">
      <c r="A3" s="0" t="s">
        <v>217</v>
      </c>
      <c r="B3" s="0" t="s">
        <v>218</v>
      </c>
      <c r="E3" s="0" t="s">
        <v>219</v>
      </c>
      <c r="G3" s="0" t="s">
        <v>220</v>
      </c>
    </row>
    <row r="4" customFormat="false" ht="15" hidden="false" customHeight="false" outlineLevel="0" collapsed="false">
      <c r="A4" s="0" t="s">
        <v>221</v>
      </c>
      <c r="B4" s="0" t="s">
        <v>222</v>
      </c>
      <c r="E4" s="0" t="s">
        <v>223</v>
      </c>
      <c r="G4" s="0" t="s">
        <v>75</v>
      </c>
    </row>
    <row r="5" customFormat="false" ht="15" hidden="false" customHeight="false" outlineLevel="0" collapsed="false">
      <c r="A5" s="0" t="s">
        <v>224</v>
      </c>
      <c r="B5" s="0" t="s">
        <v>225</v>
      </c>
      <c r="E5" s="0" t="s">
        <v>226</v>
      </c>
      <c r="G5" s="0" t="s">
        <v>227</v>
      </c>
    </row>
    <row r="6" customFormat="false" ht="15" hidden="false" customHeight="false" outlineLevel="0" collapsed="false">
      <c r="A6" s="0" t="s">
        <v>228</v>
      </c>
      <c r="B6" s="0" t="s">
        <v>229</v>
      </c>
      <c r="E6" s="0" t="s">
        <v>230</v>
      </c>
      <c r="G6" s="0" t="s">
        <v>231</v>
      </c>
    </row>
    <row r="7" customFormat="false" ht="15" hidden="false" customHeight="false" outlineLevel="0" collapsed="false">
      <c r="A7" s="0" t="s">
        <v>232</v>
      </c>
      <c r="B7" s="0" t="s">
        <v>233</v>
      </c>
      <c r="E7" s="0" t="s">
        <v>234</v>
      </c>
      <c r="G7" s="0" t="s">
        <v>235</v>
      </c>
    </row>
    <row r="8" customFormat="false" ht="15" hidden="false" customHeight="false" outlineLevel="0" collapsed="false">
      <c r="A8" s="0" t="s">
        <v>106</v>
      </c>
      <c r="B8" s="0" t="s">
        <v>236</v>
      </c>
      <c r="E8" s="0" t="s">
        <v>237</v>
      </c>
      <c r="G8" s="0" t="s">
        <v>238</v>
      </c>
    </row>
    <row r="9" customFormat="false" ht="15" hidden="false" customHeight="false" outlineLevel="0" collapsed="false">
      <c r="A9" s="0" t="s">
        <v>122</v>
      </c>
      <c r="B9" s="0" t="s">
        <v>239</v>
      </c>
      <c r="E9" s="0" t="s">
        <v>240</v>
      </c>
      <c r="G9" s="0" t="s">
        <v>73</v>
      </c>
    </row>
    <row r="10" customFormat="false" ht="15" hidden="false" customHeight="false" outlineLevel="0" collapsed="false">
      <c r="E10" s="0" t="s">
        <v>241</v>
      </c>
      <c r="G10" s="0" t="s">
        <v>69</v>
      </c>
    </row>
    <row r="11" customFormat="false" ht="15" hidden="false" customHeight="false" outlineLevel="0" collapsed="false">
      <c r="E11" s="0" t="s">
        <v>242</v>
      </c>
      <c r="G11" s="0" t="s">
        <v>243</v>
      </c>
    </row>
    <row r="12" customFormat="false" ht="15" hidden="false" customHeight="false" outlineLevel="0" collapsed="false">
      <c r="E12" s="0" t="s">
        <v>244</v>
      </c>
      <c r="G12" s="0" t="s">
        <v>245</v>
      </c>
    </row>
    <row r="13" customFormat="false" ht="15" hidden="false" customHeight="false" outlineLevel="0" collapsed="false">
      <c r="E13" s="0" t="s">
        <v>246</v>
      </c>
      <c r="G13" s="0" t="s">
        <v>247</v>
      </c>
    </row>
    <row r="14" customFormat="false" ht="15" hidden="false" customHeight="false" outlineLevel="0" collapsed="false">
      <c r="E14" s="0" t="s">
        <v>248</v>
      </c>
      <c r="G14" s="0" t="s">
        <v>249</v>
      </c>
    </row>
    <row r="15" customFormat="false" ht="15" hidden="false" customHeight="false" outlineLevel="0" collapsed="false">
      <c r="E15" s="0" t="s">
        <v>250</v>
      </c>
    </row>
    <row r="16" customFormat="false" ht="15" hidden="false" customHeight="false" outlineLevel="0" collapsed="false">
      <c r="E16" s="0" t="s">
        <v>251</v>
      </c>
    </row>
    <row r="17" customFormat="false" ht="15" hidden="false" customHeight="false" outlineLevel="0" collapsed="false">
      <c r="E17" s="0" t="s">
        <v>252</v>
      </c>
    </row>
    <row r="18" customFormat="false" ht="15" hidden="false" customHeight="false" outlineLevel="0" collapsed="false">
      <c r="E18" s="0" t="s">
        <v>253</v>
      </c>
    </row>
    <row r="19" customFormat="false" ht="15" hidden="false" customHeight="false" outlineLevel="0" collapsed="false">
      <c r="E19" s="0" t="s">
        <v>254</v>
      </c>
    </row>
  </sheetData>
  <sheetProtection algorithmName="SHA-512" hashValue="dcAS8GIcfNG1vDa8N4RNWClXSWM2s/ue0FnYXFHrbp2EJVHOjzYfudQ0fcFERv8oFFrbBzhOBW3nFnfYIgU8bQ==" saltValue="W+m6xNJ4DXskuKbGFfdVXA==" spinCount="100000" sheet="true" objects="true" scenarios="true" formatCells="false" formatColumns="false" formatRows="false" insertColumns="false" insertRows="false" insertHyperlinks="false" deleteColumns="false" deleteRows="false" sort="false" autoFilter="false" pivotTables="false"/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2020-10-13T12:59:14Z</dcterms:created>
  <dc:creator>Houcine Hassine</dc:creator>
  <dc:description/>
  <dc:language>en-US</dc:language>
  <cp:lastModifiedBy>Houcine Hassine</cp:lastModifiedBy>
  <dcterms:modified xsi:type="dcterms:W3CDTF">2026-08-28T16:14:30Z</dcterms:modified>
  <cp:revision>0</cp:revision>
  <dc:subject/>
  <dc:title>Tätigkeitsnachweis Praxissemester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2601314-b878-4900-a263-6d04f23371fa_ActionId">
    <vt:lpwstr>f47aae4b-ee42-451d-9cce-b8dfad5466e3</vt:lpwstr>
  </property>
  <property fmtid="{D5CDD505-2E9C-101B-9397-08002B2CF9AE}" pid="3" name="MSIP_Label_c2601314-b878-4900-a263-6d04f23371fa_ContentBits">
    <vt:lpwstr>0</vt:lpwstr>
  </property>
  <property fmtid="{D5CDD505-2E9C-101B-9397-08002B2CF9AE}" pid="4" name="MSIP_Label_c2601314-b878-4900-a263-6d04f23371fa_Enabled">
    <vt:lpwstr>true</vt:lpwstr>
  </property>
  <property fmtid="{D5CDD505-2E9C-101B-9397-08002B2CF9AE}" pid="5" name="MSIP_Label_c2601314-b878-4900-a263-6d04f23371fa_Method">
    <vt:lpwstr>Privileged</vt:lpwstr>
  </property>
  <property fmtid="{D5CDD505-2E9C-101B-9397-08002B2CF9AE}" pid="6" name="MSIP_Label_c2601314-b878-4900-a263-6d04f23371fa_Name">
    <vt:lpwstr>c2601314-b878-4900-a263-6d04f23371fa</vt:lpwstr>
  </property>
  <property fmtid="{D5CDD505-2E9C-101B-9397-08002B2CF9AE}" pid="7" name="MSIP_Label_c2601314-b878-4900-a263-6d04f23371fa_SetDate">
    <vt:lpwstr>2023-02-09T10:41:14Z</vt:lpwstr>
  </property>
  <property fmtid="{D5CDD505-2E9C-101B-9397-08002B2CF9AE}" pid="8" name="MSIP_Label_c2601314-b878-4900-a263-6d04f23371fa_SiteId">
    <vt:lpwstr>ce849bab-cc1c-465b-b62e-18f07c9ac198</vt:lpwstr>
  </property>
</Properties>
</file>