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22932" yWindow="0" windowWidth="23256" windowHeight="12576" tabRatio="600" firstSheet="0" activeTab="2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Stammdaten" sheetId="2" state="visible" r:id="rId2"/>
    <sheet xmlns:r="http://schemas.openxmlformats.org/officeDocument/2006/relationships" name="Tätigkeitsnachweis" sheetId="3" state="visible" r:id="rId3"/>
    <sheet xmlns:r="http://schemas.openxmlformats.org/officeDocument/2006/relationships" name="Status" sheetId="4" state="visible" r:id="rId4"/>
  </sheets>
  <definedNames>
    <definedName name="Ausbildungsbetrieb_Anrede">Stammdaten!$I$8</definedName>
    <definedName name="Ausbildungsbetrieb_Arbeitszeit">Stammdaten!$B$32</definedName>
    <definedName name="Ausbildungsbetrieb_Email">Stammdaten!$I$20</definedName>
    <definedName name="Ausbildungsbetrieb_Land">Stammdaten!$I$32</definedName>
    <definedName name="Ausbildungsbetrieb_Name">Stammdaten!$I$11</definedName>
    <definedName name="Ausbildungsbetrieb_Nummer">Stammdaten!$N$26</definedName>
    <definedName name="Ausbildungsbetrieb_Ort">Stammdaten!$L$29</definedName>
    <definedName name="Ausbildungsbetrieb_PLZ">Stammdaten!$I$29</definedName>
    <definedName name="Ausbildungsbetrieb_Position">Stammdaten!$I$17</definedName>
    <definedName name="Ausbildungsbetrieb_Strasse">Stammdaten!$I$26</definedName>
    <definedName name="Ausbildungsbetrieb_Telefon">Stammdaten!$I$23</definedName>
    <definedName name="Ausbildungsbetrieb_Unternehmen">Stammdaten!$I$5</definedName>
    <definedName name="Ausbildungsbetrieb_Vorname">Stammdaten!$I$14</definedName>
    <definedName name="Branche">Stammdaten!$I$37</definedName>
    <definedName name="Enddatum">Stammdaten!$B$23</definedName>
    <definedName name="Startdatum">Stammdaten!$B$20</definedName>
    <definedName name="Student_Anrede">Stammdaten!$B$2</definedName>
    <definedName name="Student_Email">Stammdaten!$B$17</definedName>
    <definedName name="Student_Matrikelnummer">Stammdaten!$B$14</definedName>
    <definedName name="Student_Name">Stammdaten!$B$5</definedName>
    <definedName name="Student_Studiengruppe">Stammdaten!$B$11</definedName>
    <definedName name="Student_Vorname">Stammdaten!$B$8</definedName>
    <definedName name="Taetigkeitsbereich1">Stammdaten!$B$37</definedName>
    <definedName name="Taetigkeitsbereich2">Stammdaten!$B$40</definedName>
    <definedName name="Taetigkeitsbereich3">Stammdaten!$B$43</definedName>
    <definedName name="Taetigkeitsbereich4">Stammdaten!$B$46</definedName>
    <definedName name="Taetigkeitsbereich5">Stammdaten!$B$49</definedName>
    <definedName name="Vorlesung_begleitend">Stammdaten!$B$26</definedName>
    <definedName name="_xlnm.Print_Area" localSheetId="2">'Tätigkeitsnachweis'!$A$1:$H$559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color theme="1"/>
      <sz val="6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6"/>
      <u val="single"/>
    </font>
    <font>
      <name val="Arial"/>
      <family val="2"/>
      <color rgb="FF000000"/>
      <sz val="11"/>
    </font>
    <font>
      <name val="Arial"/>
      <family val="2"/>
      <color rgb="FF000000"/>
      <sz val="6"/>
    </font>
    <font>
      <name val="Arial"/>
      <family val="2"/>
      <color rgb="FF000000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 style="medium">
        <color auto="1"/>
      </top>
      <bottom/>
      <diagonal style="medium">
        <color auto="1"/>
      </diagonal>
    </border>
    <border diagonalUp="1">
      <left/>
      <right/>
      <top/>
      <bottom style="medium">
        <color auto="1"/>
      </bottom>
      <diagonal style="medium">
        <color auto="1"/>
      </diagonal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118">
    <xf numFmtId="0" fontId="0" fillId="0" borderId="0" pivotButton="0" quotePrefix="0" xfId="0"/>
    <xf numFmtId="0" fontId="1" fillId="0" borderId="0" pivotButton="0" quotePrefix="0" xfId="0"/>
    <xf numFmtId="0" fontId="1" fillId="3" borderId="1" pivotButton="0" quotePrefix="0" xfId="0"/>
    <xf numFmtId="0" fontId="1" fillId="3" borderId="1" applyProtection="1" pivotButton="0" quotePrefix="0" xfId="0">
      <protection locked="0" hidden="0"/>
    </xf>
    <xf numFmtId="14" fontId="1" fillId="3" borderId="1" pivotButton="0" quotePrefix="0" xfId="0"/>
    <xf numFmtId="0" fontId="1" fillId="3" borderId="2" pivotButton="0" quotePrefix="0" xfId="0"/>
    <xf numFmtId="0" fontId="1" fillId="3" borderId="3" pivotButton="0" quotePrefix="0" xfId="0"/>
    <xf numFmtId="14" fontId="1" fillId="3" borderId="3" pivotButton="0" quotePrefix="0" xfId="0"/>
    <xf numFmtId="0" fontId="1" fillId="3" borderId="3" applyProtection="1" pivotButton="0" quotePrefix="0" xfId="0">
      <protection locked="0" hidden="0"/>
    </xf>
    <xf numFmtId="0" fontId="1" fillId="3" borderId="5" pivotButton="0" quotePrefix="0" xfId="0"/>
    <xf numFmtId="0" fontId="1" fillId="3" borderId="7" pivotButton="0" quotePrefix="0" xfId="0"/>
    <xf numFmtId="0" fontId="1" fillId="3" borderId="8" pivotButton="0" quotePrefix="0" xfId="0"/>
    <xf numFmtId="14" fontId="1" fillId="3" borderId="8" pivotButton="0" quotePrefix="0" xfId="0"/>
    <xf numFmtId="0" fontId="1" fillId="3" borderId="8" applyProtection="1" pivotButton="0" quotePrefix="0" xfId="0">
      <protection locked="0" hidden="0"/>
    </xf>
    <xf numFmtId="0" fontId="1" fillId="2" borderId="10" pivotButton="0" quotePrefix="0" xfId="0"/>
    <xf numFmtId="0" fontId="1" fillId="2" borderId="11" pivotButton="0" quotePrefix="0" xfId="0"/>
    <xf numFmtId="0" fontId="1" fillId="2" borderId="12" pivotButton="0" quotePrefix="0" xfId="0"/>
    <xf numFmtId="0" fontId="1" fillId="2" borderId="14" pivotButton="0" quotePrefix="0" xfId="0"/>
    <xf numFmtId="0" fontId="2" fillId="2" borderId="14" applyAlignment="1" pivotButton="0" quotePrefix="0" xfId="0">
      <alignment horizontal="center" wrapText="1"/>
    </xf>
    <xf numFmtId="0" fontId="1" fillId="2" borderId="15" pivotButton="0" quotePrefix="0" xfId="0"/>
    <xf numFmtId="49" fontId="1" fillId="3" borderId="4" applyAlignment="1" applyProtection="1" pivotButton="0" quotePrefix="0" xfId="0">
      <alignment horizontal="left" vertical="top" wrapText="1"/>
      <protection locked="0" hidden="0"/>
    </xf>
    <xf numFmtId="49" fontId="1" fillId="3" borderId="6" applyAlignment="1" applyProtection="1" pivotButton="0" quotePrefix="0" xfId="0">
      <alignment horizontal="left" vertical="top" wrapText="1"/>
      <protection locked="0" hidden="0"/>
    </xf>
    <xf numFmtId="49" fontId="1" fillId="3" borderId="9" applyAlignment="1" applyProtection="1" pivotButton="0" quotePrefix="0" xfId="0">
      <alignment horizontal="left" vertical="top" wrapText="1"/>
      <protection locked="0" hidden="0"/>
    </xf>
    <xf numFmtId="0" fontId="3" fillId="0" borderId="0" pivotButton="0" quotePrefix="0" xfId="0"/>
    <xf numFmtId="0" fontId="1" fillId="3" borderId="0" pivotButton="0" quotePrefix="0" xfId="0"/>
    <xf numFmtId="0" fontId="1" fillId="3" borderId="16" pivotButton="0" quotePrefix="0" xfId="0"/>
    <xf numFmtId="0" fontId="1" fillId="3" borderId="0" applyAlignment="1" pivotButton="0" quotePrefix="0" xfId="0">
      <alignment horizontal="left"/>
    </xf>
    <xf numFmtId="0" fontId="1" fillId="3" borderId="16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17" applyAlignment="1" pivotButton="0" quotePrefix="0" xfId="0">
      <alignment horizontal="left"/>
    </xf>
    <xf numFmtId="0" fontId="1" fillId="3" borderId="18" applyAlignment="1" pivotButton="0" quotePrefix="0" xfId="0">
      <alignment horizontal="left"/>
    </xf>
    <xf numFmtId="14" fontId="1" fillId="3" borderId="18" applyAlignment="1" pivotButton="0" quotePrefix="0" xfId="0">
      <alignment horizontal="left"/>
    </xf>
    <xf numFmtId="0" fontId="1" fillId="3" borderId="19" applyAlignment="1" pivotButton="0" quotePrefix="0" xfId="0">
      <alignment horizontal="left"/>
    </xf>
    <xf numFmtId="0" fontId="1" fillId="3" borderId="20" applyAlignment="1" pivotButton="0" quotePrefix="0" xfId="0">
      <alignment horizontal="left"/>
    </xf>
    <xf numFmtId="0" fontId="1" fillId="3" borderId="21" applyAlignment="1" pivotButton="0" quotePrefix="0" xfId="0">
      <alignment horizontal="left"/>
    </xf>
    <xf numFmtId="0" fontId="1" fillId="3" borderId="20" pivotButton="0" quotePrefix="0" xfId="0"/>
    <xf numFmtId="0" fontId="1" fillId="3" borderId="0" pivotButton="0" quotePrefix="0" xfId="0"/>
    <xf numFmtId="0" fontId="1" fillId="3" borderId="21" pivotButton="0" quotePrefix="0" xfId="0"/>
    <xf numFmtId="0" fontId="1" fillId="3" borderId="22" pivotButton="0" quotePrefix="0" xfId="0"/>
    <xf numFmtId="0" fontId="1" fillId="3" borderId="23" pivotButton="0" quotePrefix="0" xfId="0"/>
    <xf numFmtId="0" fontId="5" fillId="3" borderId="0" pivotButton="0" quotePrefix="0" xfId="0"/>
    <xf numFmtId="0" fontId="6" fillId="3" borderId="0" pivotButton="0" quotePrefix="0" xfId="0"/>
    <xf numFmtId="0" fontId="1" fillId="3" borderId="16" applyAlignment="1" applyProtection="1" pivotButton="0" quotePrefix="0" xfId="0">
      <alignment horizontal="left"/>
      <protection locked="0" hidden="0"/>
    </xf>
    <xf numFmtId="14" fontId="1" fillId="3" borderId="3" applyProtection="1" pivotButton="0" quotePrefix="0" xfId="0">
      <protection locked="0" hidden="0"/>
    </xf>
    <xf numFmtId="14" fontId="1" fillId="3" borderId="1" applyProtection="1" pivotButton="0" quotePrefix="0" xfId="0">
      <protection locked="0" hidden="0"/>
    </xf>
    <xf numFmtId="14" fontId="1" fillId="3" borderId="8" applyProtection="1" pivotButton="0" quotePrefix="0" xfId="0">
      <protection locked="0" hidden="0"/>
    </xf>
    <xf numFmtId="20" fontId="1" fillId="3" borderId="1" applyProtection="1" pivotButton="0" quotePrefix="0" xfId="0">
      <protection locked="0" hidden="0"/>
    </xf>
    <xf numFmtId="0" fontId="1" fillId="0" borderId="24" pivotButton="0" quotePrefix="0" xfId="0"/>
    <xf numFmtId="0" fontId="1" fillId="0" borderId="25" pivotButton="0" quotePrefix="0" xfId="0"/>
    <xf numFmtId="0" fontId="1" fillId="0" borderId="26" pivotButton="0" quotePrefix="0" xfId="0"/>
    <xf numFmtId="0" fontId="1" fillId="3" borderId="0" applyAlignment="1" pivotButton="0" quotePrefix="0" xfId="0">
      <alignment horizontal="left"/>
    </xf>
    <xf numFmtId="0" fontId="2" fillId="2" borderId="14" applyAlignment="1" pivotButton="0" quotePrefix="0" xfId="0">
      <alignment horizontal="center" wrapText="1"/>
    </xf>
    <xf numFmtId="0" fontId="1" fillId="3" borderId="16" applyAlignment="1" pivotButton="0" quotePrefix="0" xfId="0">
      <alignment horizontal="left"/>
    </xf>
    <xf numFmtId="0" fontId="1" fillId="3" borderId="16" applyProtection="1" pivotButton="0" quotePrefix="0" xfId="0">
      <protection locked="0" hidden="0"/>
    </xf>
    <xf numFmtId="0" fontId="1" fillId="3" borderId="0" applyAlignment="1" pivotButton="0" quotePrefix="0" xfId="0">
      <alignment horizontal="left"/>
    </xf>
    <xf numFmtId="0" fontId="7" fillId="4" borderId="2" pivotButton="0" quotePrefix="0" xfId="0"/>
    <xf numFmtId="0" fontId="7" fillId="4" borderId="3" pivotButton="0" quotePrefix="0" xfId="0"/>
    <xf numFmtId="14" fontId="7" fillId="4" borderId="3" pivotButton="0" quotePrefix="0" xfId="0"/>
    <xf numFmtId="14" fontId="7" fillId="4" borderId="3" applyProtection="1" pivotButton="0" quotePrefix="0" xfId="0">
      <protection locked="0" hidden="0"/>
    </xf>
    <xf numFmtId="0" fontId="7" fillId="4" borderId="3" applyProtection="1" pivotButton="0" quotePrefix="0" xfId="0">
      <protection locked="0" hidden="0"/>
    </xf>
    <xf numFmtId="49" fontId="7" fillId="4" borderId="4" applyAlignment="1" applyProtection="1" pivotButton="0" quotePrefix="0" xfId="0">
      <alignment horizontal="left" vertical="top" wrapText="1"/>
      <protection locked="0" hidden="0"/>
    </xf>
    <xf numFmtId="0" fontId="7" fillId="4" borderId="5" pivotButton="0" quotePrefix="0" xfId="0"/>
    <xf numFmtId="0" fontId="7" fillId="4" borderId="1" pivotButton="0" quotePrefix="0" xfId="0"/>
    <xf numFmtId="14" fontId="7" fillId="4" borderId="1" pivotButton="0" quotePrefix="0" xfId="0"/>
    <xf numFmtId="14" fontId="7" fillId="4" borderId="1" applyProtection="1" pivotButton="0" quotePrefix="0" xfId="0">
      <protection locked="0" hidden="0"/>
    </xf>
    <xf numFmtId="0" fontId="7" fillId="4" borderId="1" applyProtection="1" pivotButton="0" quotePrefix="0" xfId="0">
      <protection locked="0" hidden="0"/>
    </xf>
    <xf numFmtId="49" fontId="7" fillId="4" borderId="6" applyAlignment="1" applyProtection="1" pivotButton="0" quotePrefix="0" xfId="0">
      <alignment horizontal="left" vertical="top" wrapText="1"/>
      <protection locked="0" hidden="0"/>
    </xf>
    <xf numFmtId="20" fontId="7" fillId="4" borderId="1" applyProtection="1" pivotButton="0" quotePrefix="0" xfId="0">
      <protection locked="0" hidden="0"/>
    </xf>
    <xf numFmtId="0" fontId="7" fillId="4" borderId="7" pivotButton="0" quotePrefix="0" xfId="0"/>
    <xf numFmtId="0" fontId="7" fillId="4" borderId="8" pivotButton="0" quotePrefix="0" xfId="0"/>
    <xf numFmtId="14" fontId="7" fillId="4" borderId="8" pivotButton="0" quotePrefix="0" xfId="0"/>
    <xf numFmtId="14" fontId="7" fillId="4" borderId="8" applyProtection="1" pivotButton="0" quotePrefix="0" xfId="0">
      <protection locked="0" hidden="0"/>
    </xf>
    <xf numFmtId="0" fontId="7" fillId="4" borderId="8" applyProtection="1" pivotButton="0" quotePrefix="0" xfId="0">
      <protection locked="0" hidden="0"/>
    </xf>
    <xf numFmtId="49" fontId="7" fillId="4" borderId="9" applyAlignment="1" applyProtection="1" pivotButton="0" quotePrefix="0" xfId="0">
      <alignment horizontal="left" vertical="top" wrapText="1"/>
      <protection locked="0" hidden="0"/>
    </xf>
    <xf numFmtId="0" fontId="7" fillId="4" borderId="0" pivotButton="0" quotePrefix="0" xfId="0"/>
    <xf numFmtId="0" fontId="8" fillId="4" borderId="0" applyAlignment="1" pivotButton="0" quotePrefix="0" xfId="0">
      <alignment horizontal="left"/>
    </xf>
    <xf numFmtId="0" fontId="7" fillId="4" borderId="0" applyAlignment="1" pivotButton="0" quotePrefix="0" xfId="0">
      <alignment horizontal="left"/>
    </xf>
    <xf numFmtId="0" fontId="7" fillId="4" borderId="10" pivotButton="0" quotePrefix="0" xfId="0"/>
    <xf numFmtId="0" fontId="7" fillId="4" borderId="11" pivotButton="0" quotePrefix="0" xfId="0"/>
    <xf numFmtId="0" fontId="7" fillId="4" borderId="12" pivotButton="0" quotePrefix="0" xfId="0"/>
    <xf numFmtId="0" fontId="7" fillId="4" borderId="14" pivotButton="0" quotePrefix="0" xfId="0"/>
    <xf numFmtId="0" fontId="7" fillId="4" borderId="15" pivotButton="0" quotePrefix="0" xfId="0"/>
    <xf numFmtId="0" fontId="1" fillId="3" borderId="0" applyAlignment="1" pivotButton="0" quotePrefix="0" xfId="0">
      <alignment horizontal="left"/>
    </xf>
    <xf numFmtId="0" fontId="7" fillId="4" borderId="16" applyAlignment="1" pivotButton="0" quotePrefix="0" xfId="0">
      <alignment horizontal="left"/>
    </xf>
    <xf numFmtId="0" fontId="1" fillId="2" borderId="0" pivotButton="0" quotePrefix="0" xfId="0"/>
    <xf numFmtId="49" fontId="7" fillId="4" borderId="0" applyAlignment="1" applyProtection="1" pivotButton="0" quotePrefix="0" xfId="0">
      <alignment horizontal="left" vertical="top" wrapText="1"/>
      <protection locked="0" hidden="0"/>
    </xf>
    <xf numFmtId="0" fontId="7" fillId="4" borderId="0" applyAlignment="1" pivotButton="0" quotePrefix="0" xfId="0">
      <alignment horizontal="left"/>
    </xf>
    <xf numFmtId="0" fontId="7" fillId="4" borderId="0" pivotButton="0" quotePrefix="0" xfId="0"/>
    <xf numFmtId="49" fontId="1" fillId="3" borderId="0" applyAlignment="1" applyProtection="1" pivotButton="0" quotePrefix="0" xfId="0">
      <alignment horizontal="left" vertical="top" wrapText="1"/>
      <protection locked="0" hidden="0"/>
    </xf>
    <xf numFmtId="0" fontId="1" fillId="3" borderId="0" applyAlignment="1" pivotButton="0" quotePrefix="0" xfId="0">
      <alignment horizontal="left"/>
    </xf>
    <xf numFmtId="0" fontId="10" fillId="3" borderId="3" pivotButton="0" quotePrefix="0" xfId="0"/>
    <xf numFmtId="0" fontId="10" fillId="3" borderId="1" pivotButton="0" quotePrefix="0" xfId="0"/>
    <xf numFmtId="0" fontId="10" fillId="3" borderId="8" pivotButton="0" quotePrefix="0" xfId="0"/>
    <xf numFmtId="0" fontId="7" fillId="0" borderId="0" applyAlignment="1" applyProtection="1" pivotButton="0" quotePrefix="0" xfId="0">
      <alignment vertical="top" wrapText="1"/>
      <protection locked="0" hidden="0"/>
    </xf>
    <xf numFmtId="0" fontId="7" fillId="0" borderId="0" applyAlignment="1" applyProtection="1" pivotButton="0" quotePrefix="0" xfId="0">
      <alignment horizontal="left" vertical="top" wrapText="1"/>
      <protection locked="0" hidden="0"/>
    </xf>
    <xf numFmtId="0" fontId="1" fillId="3" borderId="1" applyProtection="1" pivotButton="0" quotePrefix="0" xfId="0">
      <protection locked="0" hidden="0"/>
    </xf>
    <xf numFmtId="0" fontId="7" fillId="4" borderId="1" applyProtection="1" pivotButton="0" quotePrefix="0" xfId="0">
      <protection locked="0" hidden="0"/>
    </xf>
    <xf numFmtId="0" fontId="7" fillId="0" borderId="0" applyAlignment="1" applyProtection="1" pivotButton="0" quotePrefix="0" xfId="0">
      <alignment vertical="top"/>
      <protection locked="0" hidden="0"/>
    </xf>
    <xf numFmtId="0" fontId="7" fillId="0" borderId="0" applyAlignment="1" applyProtection="1" pivotButton="0" quotePrefix="0" xfId="0">
      <alignment wrapText="1"/>
      <protection locked="0" hidden="0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14" fontId="1" fillId="3" borderId="16" applyAlignment="1" applyProtection="1" pivotButton="0" quotePrefix="0" xfId="0">
      <alignment horizontal="left"/>
      <protection locked="0" hidden="0"/>
    </xf>
    <xf numFmtId="0" fontId="1" fillId="3" borderId="16" applyAlignment="1" applyProtection="1" pivotButton="0" quotePrefix="0" xfId="0">
      <alignment horizontal="left"/>
      <protection locked="0" hidden="0"/>
    </xf>
    <xf numFmtId="0" fontId="4" fillId="3" borderId="16" applyAlignment="1" applyProtection="1" pivotButton="0" quotePrefix="0" xfId="1">
      <alignment horizontal="left"/>
      <protection locked="0" hidden="0"/>
    </xf>
    <xf numFmtId="0" fontId="1" fillId="3" borderId="16" applyAlignment="1" pivotButton="0" quotePrefix="0" xfId="0">
      <alignment horizontal="left"/>
    </xf>
    <xf numFmtId="0" fontId="1" fillId="2" borderId="13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0" fontId="2" fillId="2" borderId="14" applyAlignment="1" pivotButton="0" quotePrefix="0" xfId="0">
      <alignment horizontal="center" wrapText="1"/>
    </xf>
    <xf numFmtId="0" fontId="7" fillId="4" borderId="16" applyAlignment="1" pivotButton="0" quotePrefix="0" xfId="0">
      <alignment horizontal="left"/>
    </xf>
    <xf numFmtId="0" fontId="7" fillId="4" borderId="13" applyAlignment="1" pivotButton="0" quotePrefix="0" xfId="0">
      <alignment horizontal="center"/>
    </xf>
    <xf numFmtId="0" fontId="7" fillId="4" borderId="14" applyAlignment="1" pivotButton="0" quotePrefix="0" xfId="0">
      <alignment horizontal="center"/>
    </xf>
    <xf numFmtId="0" fontId="9" fillId="4" borderId="14" applyAlignment="1" pivotButton="0" quotePrefix="0" xfId="0">
      <alignment horizontal="center" wrapText="1"/>
    </xf>
    <xf numFmtId="0" fontId="0" fillId="0" borderId="16" applyProtection="1" pivotButton="0" quotePrefix="0" xfId="0">
      <protection locked="0" hidden="0"/>
    </xf>
    <xf numFmtId="164" fontId="1" fillId="3" borderId="16" applyAlignment="1" applyProtection="1" pivotButton="0" quotePrefix="0" xfId="0">
      <alignment horizontal="left"/>
      <protection locked="0" hidden="0"/>
    </xf>
    <xf numFmtId="0" fontId="0" fillId="0" borderId="16" pivotButton="0" quotePrefix="0" xfId="0"/>
    <xf numFmtId="0" fontId="0" fillId="0" borderId="14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twoCellAnchor editAs="oneCell">
    <from>
      <col>19</col>
      <colOff>424543</colOff>
      <row>43</row>
      <rowOff>75085</rowOff>
    </from>
    <to>
      <col>23</col>
      <colOff>72527</colOff>
      <row>49</row>
      <rowOff>33822</rowOff>
    </to>
    <pic>
      <nvPicPr>
        <cNvPr id="2" name="Grafik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19</col>
      <colOff>424543</colOff>
      <row>86</row>
      <rowOff>75085</rowOff>
    </from>
    <ext cx="2673124" cy="772444"/>
    <pic>
      <nvPicPr>
        <cNvPr id="29" name="Grafik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129</row>
      <rowOff>75085</rowOff>
    </from>
    <ext cx="2673124" cy="772444"/>
    <pic>
      <nvPicPr>
        <cNvPr id="30" name="Grafik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172</row>
      <rowOff>75085</rowOff>
    </from>
    <ext cx="2673124" cy="772444"/>
    <pic>
      <nvPicPr>
        <cNvPr id="31" name="Grafik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215</row>
      <rowOff>75085</rowOff>
    </from>
    <ext cx="2673124" cy="772444"/>
    <pic>
      <nvPicPr>
        <cNvPr id="32" name="Grafik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258</row>
      <rowOff>75085</rowOff>
    </from>
    <ext cx="2673124" cy="772444"/>
    <pic>
      <nvPicPr>
        <cNvPr id="33" name="Grafik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0287000" y="7548128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301</row>
      <rowOff>75085</rowOff>
    </from>
    <ext cx="2673124" cy="772444"/>
    <pic>
      <nvPicPr>
        <cNvPr id="62" name="Grafik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344</row>
      <rowOff>75085</rowOff>
    </from>
    <ext cx="2673124" cy="772444"/>
    <pic>
      <nvPicPr>
        <cNvPr id="63" name="Grafik 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387</row>
      <rowOff>75085</rowOff>
    </from>
    <ext cx="2673124" cy="772444"/>
    <pic>
      <nvPicPr>
        <cNvPr id="64" name="Grafik 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430</row>
      <rowOff>75085</rowOff>
    </from>
    <ext cx="2673124" cy="772444"/>
    <pic>
      <nvPicPr>
        <cNvPr id="65" name="Grafik 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473</row>
      <rowOff>75085</rowOff>
    </from>
    <ext cx="2673124" cy="772444"/>
    <pic>
      <nvPicPr>
        <cNvPr id="66" name="Grafik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516</row>
      <rowOff>75085</rowOff>
    </from>
    <ext cx="2673124" cy="772444"/>
    <pic>
      <nvPicPr>
        <cNvPr id="67" name="Grafik 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424543</colOff>
      <row>559</row>
      <rowOff>75085</rowOff>
    </from>
    <ext cx="2673124" cy="772444"/>
    <pic>
      <nvPicPr>
        <cNvPr id="68" name="Grafik 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0260937" y="45245566"/>
          <a:ext cx="2673124" cy="7724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houcine1.hassine@hs-regensburg.de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4">
    <outlinePr summaryBelow="1" summaryRight="1"/>
    <pageSetUpPr/>
  </sheetPr>
  <dimension ref="A1:K38"/>
  <sheetViews>
    <sheetView view="pageBreakPreview" zoomScale="140" zoomScaleNormal="100" zoomScaleSheetLayoutView="140" workbookViewId="0">
      <selection activeCell="J34" sqref="J34"/>
    </sheetView>
  </sheetViews>
  <sheetFormatPr baseColWidth="8" defaultColWidth="11.43359375" defaultRowHeight="13.5"/>
  <cols>
    <col width="3.359375" customWidth="1" style="1" min="1" max="1"/>
    <col width="4.03515625" customWidth="1" style="1" min="2" max="2"/>
    <col width="4.83984375" customWidth="1" style="1" min="3" max="3"/>
    <col width="11.43359375" customWidth="1" style="1" min="4" max="8"/>
    <col width="4.4375" customWidth="1" style="1" min="9" max="9"/>
    <col width="53.13671875" customWidth="1" style="1" min="10" max="10"/>
    <col width="19.37109375" customWidth="1" style="1" min="11" max="11"/>
    <col width="11.43359375" customWidth="1" style="1" min="12" max="16384"/>
  </cols>
  <sheetData>
    <row r="1" ht="20.25" customHeight="1">
      <c r="A1" s="37" t="n"/>
      <c r="B1" s="42" t="inlineStr">
        <is>
          <t>Kurzanleitung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</row>
    <row r="2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</row>
    <row r="3">
      <c r="A3" s="37" t="n"/>
      <c r="B3" s="41" t="inlineStr">
        <is>
          <t>1. Schritt</t>
        </is>
      </c>
      <c r="C3" s="41" t="n"/>
      <c r="D3" s="37" t="n"/>
      <c r="E3" s="37" t="n"/>
      <c r="F3" s="37" t="n"/>
      <c r="G3" s="37" t="n"/>
      <c r="H3" s="37" t="n"/>
      <c r="I3" s="37" t="n"/>
      <c r="J3" s="37" t="n"/>
      <c r="K3" s="37" t="n"/>
    </row>
    <row r="4" ht="3.75" customHeight="1">
      <c r="A4" s="37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</row>
    <row r="5">
      <c r="A5" s="37" t="n"/>
      <c r="B5" s="37" t="n"/>
      <c r="C5" s="101" t="inlineStr">
        <is>
          <t>Geben Sie im Reiter "Stammdaten" alle geforderten Informationen ein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</row>
    <row r="7">
      <c r="A7" s="37" t="n"/>
      <c r="B7" s="41" t="inlineStr">
        <is>
          <t>2. Schritt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</row>
    <row r="8" ht="4.5" customHeight="1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</row>
    <row r="9" ht="35.25" customHeight="1">
      <c r="A9" s="37" t="n"/>
      <c r="B9" s="37" t="n"/>
      <c r="C9" s="101" t="inlineStr">
        <is>
          <t>Füllen Sie den Tätigkeitsnachweis vollständig aus. Für jeden Tag (Außer Samstag und Sonntag) muss folgendes angegebene werden:</t>
        </is>
      </c>
    </row>
    <row r="10">
      <c r="A10" s="37" t="n"/>
      <c r="B10" s="37" t="n"/>
      <c r="C10" s="37" t="n"/>
      <c r="D10" s="100" t="inlineStr">
        <is>
          <t>Tagestyp (Anwesen, Urlaub,…)</t>
        </is>
      </c>
    </row>
    <row r="11">
      <c r="A11" s="37" t="n"/>
      <c r="B11" s="37" t="n"/>
      <c r="C11" s="37" t="n"/>
      <c r="D11" s="100" t="inlineStr">
        <is>
          <t>Anwsenheitszeit im Betrieb</t>
        </is>
      </c>
    </row>
    <row r="12">
      <c r="A12" s="37" t="n"/>
      <c r="B12" s="37" t="n"/>
      <c r="C12" s="37" t="n"/>
      <c r="D12" s="100" t="inlineStr">
        <is>
          <t>Vorlesung besucht (ja/nein)</t>
        </is>
      </c>
    </row>
    <row r="13">
      <c r="A13" s="37" t="n"/>
      <c r="B13" s="37" t="n"/>
      <c r="C13" s="37" t="n"/>
      <c r="D13" s="100" t="inlineStr">
        <is>
          <t>kurze Beschriebung der Tätigkeit(en) an diesem Tag</t>
        </is>
      </c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</row>
    <row r="15">
      <c r="A15" s="37" t="n"/>
      <c r="B15" s="41" t="inlineStr">
        <is>
          <t>3. Schritt</t>
        </is>
      </c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 ht="2.25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</row>
    <row r="17">
      <c r="A17" s="37" t="n"/>
      <c r="B17" s="37" t="n"/>
      <c r="C17" s="101" t="inlineStr">
        <is>
          <t>Wählen Sie Tätigkeiten aus dem Berichtszeitraum aus und beschrieben Sie 5 Tätigkeiten genauer. Die Berichte werden in der Worddatei erstellt. Im Excel wird unter Stammdaten der Titel der Tätigkeitbeschreibung aufgeführt. (inkl. Dateiname).</t>
        </is>
      </c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</row>
    <row r="19">
      <c r="A19" s="37" t="n"/>
      <c r="B19" s="41" t="inlineStr">
        <is>
          <t>4. Schritt</t>
        </is>
      </c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 ht="5.25" customHeight="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</row>
    <row r="21">
      <c r="A21" s="37" t="n"/>
      <c r="B21" s="37" t="n"/>
      <c r="C21" s="101" t="inlineStr">
        <is>
          <t>Drucken Sie den Tätigkeitsnachweis aus. Achten Sie hierbei auf die korrekten Umbrüche der Seiten (Ansicht &gt;&gt; Umbruchvorschau)</t>
        </is>
      </c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</row>
    <row r="23">
      <c r="A23" s="37" t="n"/>
      <c r="B23" s="41" t="inlineStr">
        <is>
          <t xml:space="preserve">5. Schritt 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 ht="5.25" customHeight="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</row>
    <row r="25">
      <c r="A25" s="37" t="n"/>
      <c r="B25" s="37" t="n"/>
      <c r="C25" s="101" t="inlineStr">
        <is>
          <t>Lassen Sie den ausgedruckten Tätigkeitsnachweis von Ihrem Betreuer unterschrieben (inkl. Stempel). Scannen Sie den unterschriebenen Tätigkeitsnachweis ein.  Hinweis - heben Sie den unterschriebenen Tätigkeitsnachweis auf. Dieser muss ggf. im Orginal vorgelegt werden.</t>
        </is>
      </c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</row>
    <row r="27">
      <c r="A27" s="37" t="n"/>
      <c r="B27" s="41" t="inlineStr">
        <is>
          <t>6. Schritt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</row>
    <row r="28" ht="3.75" customHeight="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</row>
    <row r="29">
      <c r="A29" s="37" t="n"/>
      <c r="B29" s="37" t="n"/>
      <c r="C29" s="101" t="inlineStr">
        <is>
          <t>Laden Sie alle notwendigen Dokumente über die GRIPS-Plattform hoch. Die Einreichung ist nur vollständig möglich. Folgende Dateien sind hochzuladen:</t>
        </is>
      </c>
    </row>
    <row r="30">
      <c r="A30" s="37" t="n"/>
      <c r="B30" s="37" t="n"/>
      <c r="C30" s="37" t="n"/>
      <c r="D30" s="102" t="inlineStr">
        <is>
          <t>Praktikumszeugnis (PDF)</t>
        </is>
      </c>
      <c r="I30" s="37" t="inlineStr">
        <is>
          <t>&gt;&gt;</t>
        </is>
      </c>
      <c r="J30" s="37" t="inlineStr">
        <is>
          <t>NAME_MATRIKELNUMMER_Zeugnis.pdf</t>
        </is>
      </c>
      <c r="K30" s="37" t="n"/>
    </row>
    <row r="31">
      <c r="A31" s="37" t="n"/>
      <c r="B31" s="37" t="n"/>
      <c r="C31" s="37" t="n"/>
      <c r="D31" s="102" t="inlineStr">
        <is>
          <t>Tätigkeitsnachweis (Excel-Datei)</t>
        </is>
      </c>
      <c r="I31" s="37" t="inlineStr">
        <is>
          <t>&gt;&gt;</t>
        </is>
      </c>
      <c r="J31" s="37" t="inlineStr">
        <is>
          <t>NAME_MATRIKELNUMMER_Tätigkeitsnachweis.xlsx</t>
        </is>
      </c>
      <c r="K31" s="37" t="n"/>
    </row>
    <row r="32">
      <c r="A32" s="37" t="n"/>
      <c r="B32" s="37" t="n"/>
      <c r="C32" s="37" t="n"/>
      <c r="D32" s="102" t="inlineStr">
        <is>
          <t>Tätigkeitsnachweis vom Betreuer unterschrieben (PDF)</t>
        </is>
      </c>
      <c r="I32" s="37" t="inlineStr">
        <is>
          <t>&gt;&gt;</t>
        </is>
      </c>
      <c r="J32" s="37" t="inlineStr">
        <is>
          <t>NAME_MATRIKELNUMMER_Tätigkeitsnachweis.pdf</t>
        </is>
      </c>
      <c r="K32" s="37" t="n"/>
    </row>
    <row r="33">
      <c r="A33" s="37" t="n"/>
      <c r="B33" s="37" t="n"/>
      <c r="C33" s="37" t="n"/>
      <c r="D33" s="102" t="inlineStr">
        <is>
          <t>Tätigkeitsbeschreibung (Word-Datei)</t>
        </is>
      </c>
      <c r="I33" s="37" t="inlineStr">
        <is>
          <t>&gt;&gt;</t>
        </is>
      </c>
      <c r="J33" s="37" t="inlineStr">
        <is>
          <t>NAME_MATRIKELNUMMER_Bericht.docx</t>
        </is>
      </c>
      <c r="K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</row>
    <row r="35">
      <c r="A35" s="37" t="n"/>
      <c r="B35" s="37" t="n"/>
      <c r="C35" s="37" t="n"/>
      <c r="D35" s="102" t="inlineStr">
        <is>
          <t xml:space="preserve">Bitte beachten Sie die korrekte Bezeichnung </t>
        </is>
      </c>
      <c r="I35" s="37" t="n"/>
      <c r="J35" s="37" t="n"/>
      <c r="K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</row>
  </sheetData>
  <sheetProtection selectLockedCells="1" selectUnlockedCells="0" algorithmName="SHA-512" sheet="1" objects="1" insertRows="0" insertHyperlinks="0" autoFilter="0" scenarios="1" formatColumns="0" deleteColumns="0" insertColumns="0" pivotTables="0" deleteRows="0" formatCells="0" saltValue="FZEAQnQ5D2ixNdi3AIGsxg==" formatRows="0" sort="0" spinCount="100000" hashValue="H3zzeaCHGqL3WdePPLLKQW+BJ3lbuOAt62/H95eDA8GKxOUpqr2eke8qXcB6oxUlAF1dNBa4UicNq7oRCNF5UQ=="/>
  <mergeCells count="15">
    <mergeCell ref="C21:K21"/>
    <mergeCell ref="D35:H35"/>
    <mergeCell ref="D30:H30"/>
    <mergeCell ref="C29:K29"/>
    <mergeCell ref="C25:K25"/>
    <mergeCell ref="C5:K5"/>
    <mergeCell ref="D11:K11"/>
    <mergeCell ref="D33:H33"/>
    <mergeCell ref="D10:K10"/>
    <mergeCell ref="C9:K9"/>
    <mergeCell ref="D13:K13"/>
    <mergeCell ref="C17:K17"/>
    <mergeCell ref="D31:H31"/>
    <mergeCell ref="D32:H32"/>
    <mergeCell ref="D12:K12"/>
  </mergeCells>
  <pageMargins left="0.7" right="0.7" top="0.787401575" bottom="0.787401575" header="0.3" footer="0.3"/>
  <pageSetup orientation="portrait" paperSize="9" scale="63" horizontalDpi="300"/>
</worksheet>
</file>

<file path=xl/worksheets/sheet2.xml><?xml version="1.0" encoding="utf-8"?>
<worksheet xmlns="http://schemas.openxmlformats.org/spreadsheetml/2006/main">
  <sheetPr codeName="Tabelle3">
    <outlinePr summaryBelow="1" summaryRight="1"/>
    <pageSetUpPr/>
  </sheetPr>
  <dimension ref="A1:O58"/>
  <sheetViews>
    <sheetView view="pageBreakPreview" topLeftCell="A7" zoomScale="145" zoomScaleNormal="175" zoomScaleSheetLayoutView="145" workbookViewId="0">
      <selection activeCell="B26" sqref="B26"/>
    </sheetView>
  </sheetViews>
  <sheetFormatPr baseColWidth="8" defaultColWidth="7.3984375" defaultRowHeight="13.5"/>
  <cols>
    <col width="2.41796875" customWidth="1" style="1" min="1" max="1"/>
    <col width="7.3984375" customWidth="1" style="1" min="2" max="3"/>
    <col width="11.296875" bestFit="1" customWidth="1" style="1" min="4" max="4"/>
    <col width="7.3984375" customWidth="1" style="1" min="5" max="16384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</row>
    <row r="2">
      <c r="A2" s="37" t="n"/>
      <c r="B2" s="104" t="inlineStr">
        <is>
          <t>Herr</t>
        </is>
      </c>
      <c r="C2" s="114" t="n"/>
      <c r="D2" s="114" t="n"/>
      <c r="E2" s="114" t="n"/>
      <c r="F2" s="114" t="n"/>
      <c r="G2" s="114" t="n"/>
      <c r="H2" s="37" t="n"/>
      <c r="I2" s="37" t="n"/>
      <c r="J2" s="37" t="n"/>
      <c r="K2" s="37" t="n"/>
      <c r="L2" s="37" t="n"/>
      <c r="M2" s="37" t="n"/>
      <c r="N2" s="37" t="n"/>
      <c r="O2" s="37" t="n"/>
    </row>
    <row r="3" ht="8.25" customHeight="1">
      <c r="A3" s="37" t="n"/>
      <c r="B3" s="28" t="inlineStr">
        <is>
          <t>Anrede</t>
        </is>
      </c>
      <c r="C3" s="28" t="n"/>
      <c r="D3" s="28" t="n"/>
      <c r="E3" s="28" t="n"/>
      <c r="F3" s="28" t="n"/>
      <c r="G3" s="28" t="n"/>
      <c r="H3" s="37" t="n"/>
      <c r="I3" s="37" t="n"/>
      <c r="J3" s="37" t="n"/>
      <c r="K3" s="37" t="n"/>
      <c r="L3" s="37" t="n"/>
      <c r="M3" s="37" t="n"/>
      <c r="N3" s="37" t="n"/>
      <c r="O3" s="37" t="n"/>
    </row>
    <row r="4" ht="8.25" customHeight="1">
      <c r="A4" s="37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</row>
    <row r="5">
      <c r="A5" s="37" t="n"/>
      <c r="B5" s="104" t="inlineStr">
        <is>
          <t>Hassine</t>
        </is>
      </c>
      <c r="C5" s="114" t="n"/>
      <c r="D5" s="114" t="n"/>
      <c r="E5" s="114" t="n"/>
      <c r="F5" s="114" t="n"/>
      <c r="G5" s="114" t="n"/>
      <c r="H5" s="100" t="n"/>
      <c r="I5" s="104" t="inlineStr">
        <is>
          <t>Mechanische Werkstätte Schmidt e.K.</t>
        </is>
      </c>
      <c r="J5" s="114" t="n"/>
      <c r="K5" s="114" t="n"/>
      <c r="L5" s="114" t="n"/>
      <c r="M5" s="114" t="n"/>
      <c r="N5" s="114" t="n"/>
      <c r="O5" s="37" t="n"/>
    </row>
    <row r="6" ht="7.5" customHeight="1">
      <c r="A6" s="37" t="n"/>
      <c r="B6" s="28" t="inlineStr">
        <is>
          <t>Name</t>
        </is>
      </c>
      <c r="C6" s="28" t="n"/>
      <c r="D6" s="28" t="n"/>
      <c r="E6" s="28" t="n"/>
      <c r="F6" s="28" t="n"/>
      <c r="G6" s="28" t="n"/>
      <c r="H6" s="28" t="n"/>
      <c r="I6" s="28" t="inlineStr">
        <is>
          <t>Ausbildungsbetrieb</t>
        </is>
      </c>
      <c r="J6" s="100" t="n"/>
      <c r="K6" s="100" t="n"/>
      <c r="L6" s="100" t="n"/>
      <c r="M6" s="100" t="n"/>
      <c r="N6" s="100" t="n"/>
      <c r="O6" s="37" t="n"/>
    </row>
    <row r="7" ht="7.5" customHeight="1">
      <c r="A7" s="37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37" t="n"/>
    </row>
    <row r="8">
      <c r="A8" s="37" t="n"/>
      <c r="B8" s="104" t="inlineStr">
        <is>
          <t>Houcine</t>
        </is>
      </c>
      <c r="C8" s="114" t="n"/>
      <c r="D8" s="114" t="n"/>
      <c r="E8" s="114" t="n"/>
      <c r="F8" s="114" t="n"/>
      <c r="G8" s="114" t="n"/>
      <c r="H8" s="100" t="n"/>
      <c r="I8" s="104" t="inlineStr">
        <is>
          <t>Herr</t>
        </is>
      </c>
      <c r="J8" s="114" t="n"/>
      <c r="K8" s="114" t="n"/>
      <c r="L8" s="114" t="n"/>
      <c r="M8" s="114" t="n"/>
      <c r="N8" s="114" t="n"/>
      <c r="O8" s="37" t="n"/>
    </row>
    <row r="9" ht="7.5" customHeight="1">
      <c r="A9" s="37" t="n"/>
      <c r="B9" s="28" t="inlineStr">
        <is>
          <t>Vorname</t>
        </is>
      </c>
      <c r="C9" s="28" t="n"/>
      <c r="D9" s="28" t="n"/>
      <c r="E9" s="28" t="n"/>
      <c r="F9" s="28" t="n"/>
      <c r="G9" s="28" t="n"/>
      <c r="H9" s="28" t="n"/>
      <c r="I9" s="28" t="inlineStr">
        <is>
          <t>Anrede Ansprechpartner im Betrieb</t>
        </is>
      </c>
      <c r="J9" s="100" t="n"/>
      <c r="K9" s="100" t="n"/>
      <c r="L9" s="100" t="n"/>
      <c r="M9" s="100" t="n"/>
      <c r="N9" s="100" t="n"/>
      <c r="O9" s="37" t="n"/>
    </row>
    <row r="10" ht="7.5" customHeight="1">
      <c r="A10" s="37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37" t="n"/>
    </row>
    <row r="11">
      <c r="A11" s="37" t="n"/>
      <c r="B11" s="104" t="inlineStr">
        <is>
          <t>PA6</t>
        </is>
      </c>
      <c r="C11" s="114" t="n"/>
      <c r="D11" s="114" t="n"/>
      <c r="E11" s="114" t="n"/>
      <c r="F11" s="114" t="n"/>
      <c r="G11" s="114" t="n"/>
      <c r="H11" s="100" t="n"/>
      <c r="I11" s="104" t="inlineStr">
        <is>
          <t>Halloul</t>
        </is>
      </c>
      <c r="J11" s="114" t="n"/>
      <c r="K11" s="114" t="n"/>
      <c r="L11" s="114" t="n"/>
      <c r="M11" s="114" t="n"/>
      <c r="N11" s="114" t="n"/>
      <c r="O11" s="37" t="n"/>
    </row>
    <row r="12" ht="7.5" customHeight="1">
      <c r="A12" s="37" t="n"/>
      <c r="B12" s="28" t="inlineStr">
        <is>
          <t>Studiengruppe</t>
        </is>
      </c>
      <c r="C12" s="28" t="n"/>
      <c r="D12" s="28" t="n"/>
      <c r="E12" s="28" t="n"/>
      <c r="F12" s="28" t="n"/>
      <c r="G12" s="28" t="n"/>
      <c r="H12" s="28" t="n"/>
      <c r="I12" s="28" t="inlineStr">
        <is>
          <t>Name Ansprechpartner*in im Betrieb</t>
        </is>
      </c>
      <c r="J12" s="28" t="n"/>
      <c r="K12" s="28" t="n"/>
      <c r="L12" s="28" t="n"/>
      <c r="M12" s="28" t="n"/>
      <c r="N12" s="28" t="n"/>
      <c r="O12" s="37" t="n"/>
    </row>
    <row r="13" ht="6.75" customHeight="1">
      <c r="A13" s="37" t="n"/>
      <c r="B13" s="100" t="n"/>
      <c r="C13" s="100" t="n"/>
      <c r="D13" s="100" t="n"/>
      <c r="E13" s="100" t="n"/>
      <c r="F13" s="100" t="n"/>
      <c r="G13" s="100" t="n"/>
      <c r="H13" s="100" t="n"/>
      <c r="I13" s="37" t="n"/>
      <c r="J13" s="37" t="n"/>
      <c r="K13" s="37" t="n"/>
      <c r="L13" s="37" t="n"/>
      <c r="M13" s="37" t="n"/>
      <c r="N13" s="37" t="n"/>
      <c r="O13" s="37" t="n"/>
    </row>
    <row r="14">
      <c r="A14" s="37" t="n"/>
      <c r="B14" s="104" t="inlineStr">
        <is>
          <t>3399727</t>
        </is>
      </c>
      <c r="C14" s="114" t="n"/>
      <c r="D14" s="114" t="n"/>
      <c r="E14" s="114" t="n"/>
      <c r="F14" s="114" t="n"/>
      <c r="G14" s="114" t="n"/>
      <c r="H14" s="100" t="n"/>
      <c r="I14" s="104" t="inlineStr">
        <is>
          <t>Amine</t>
        </is>
      </c>
      <c r="J14" s="114" t="n"/>
      <c r="K14" s="114" t="n"/>
      <c r="L14" s="114" t="n"/>
      <c r="M14" s="114" t="n"/>
      <c r="N14" s="114" t="n"/>
      <c r="O14" s="37" t="n"/>
    </row>
    <row r="15" ht="7.5" customHeight="1">
      <c r="A15" s="37" t="n"/>
      <c r="B15" s="28" t="inlineStr">
        <is>
          <t>Matrikelnummer</t>
        </is>
      </c>
      <c r="C15" s="28" t="n"/>
      <c r="D15" s="28" t="n"/>
      <c r="E15" s="28" t="n"/>
      <c r="F15" s="28" t="n"/>
      <c r="G15" s="28" t="n"/>
      <c r="H15" s="28" t="n"/>
      <c r="I15" s="28" t="inlineStr">
        <is>
          <t>Vorname Ansprechpartner*in im Betrieb</t>
        </is>
      </c>
      <c r="J15" s="28" t="n"/>
      <c r="K15" s="28" t="n"/>
      <c r="L15" s="28" t="n"/>
      <c r="M15" s="28" t="n"/>
      <c r="N15" s="28" t="n"/>
      <c r="O15" s="37" t="n"/>
    </row>
    <row r="16" ht="7.5" customHeight="1">
      <c r="A16" s="3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100" t="n"/>
      <c r="K16" s="100" t="n"/>
      <c r="L16" s="100" t="n"/>
      <c r="M16" s="100" t="n"/>
      <c r="N16" s="100" t="n"/>
      <c r="O16" s="37" t="n"/>
    </row>
    <row r="17" ht="15" customHeight="1">
      <c r="A17" s="37" t="n"/>
      <c r="B17" s="105" t="inlineStr">
        <is>
          <t>houcine1.hassine@hs-regensburg.de</t>
        </is>
      </c>
      <c r="C17" s="114" t="n"/>
      <c r="D17" s="114" t="n"/>
      <c r="E17" s="114" t="n"/>
      <c r="F17" s="114" t="n"/>
      <c r="G17" s="114" t="n"/>
      <c r="H17" s="28" t="n"/>
      <c r="I17" s="104" t="inlineStr">
        <is>
          <t>⟨Position im Unternehmen⟩</t>
        </is>
      </c>
      <c r="J17" s="114" t="n"/>
      <c r="K17" s="114" t="n"/>
      <c r="L17" s="114" t="n"/>
      <c r="M17" s="114" t="n"/>
      <c r="N17" s="114" t="n"/>
      <c r="O17" s="37" t="n"/>
    </row>
    <row r="18" ht="7.5" customHeight="1">
      <c r="A18" s="37" t="n"/>
      <c r="B18" s="28" t="inlineStr">
        <is>
          <t xml:space="preserve">Email </t>
        </is>
      </c>
      <c r="C18" s="28" t="n"/>
      <c r="D18" s="28" t="n"/>
      <c r="E18" s="28" t="n"/>
      <c r="F18" s="28" t="n"/>
      <c r="G18" s="28" t="n"/>
      <c r="H18" s="100" t="n"/>
      <c r="I18" s="28" t="inlineStr">
        <is>
          <t>Position bzw. Funktion im Unternehmen</t>
        </is>
      </c>
      <c r="J18" s="100" t="n"/>
      <c r="K18" s="100" t="n"/>
      <c r="L18" s="100" t="n"/>
      <c r="M18" s="100" t="n"/>
      <c r="N18" s="100" t="n"/>
      <c r="O18" s="37" t="n"/>
    </row>
    <row r="19" ht="7.5" customHeight="1">
      <c r="A19" s="37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37" t="n"/>
    </row>
    <row r="20" ht="15" customHeight="1">
      <c r="A20" s="37" t="n"/>
      <c r="B20" s="115" t="n">
        <v>46083</v>
      </c>
      <c r="C20" s="114" t="n"/>
      <c r="D20" s="114" t="n"/>
      <c r="E20" s="114" t="n"/>
      <c r="F20" s="114" t="n"/>
      <c r="G20" s="114" t="n"/>
      <c r="H20" s="100" t="n"/>
      <c r="I20" s="105" t="inlineStr">
        <is>
          <t>⟨E-Mail Betreuer⟩</t>
        </is>
      </c>
      <c r="J20" s="114" t="n"/>
      <c r="K20" s="114" t="n"/>
      <c r="L20" s="114" t="n"/>
      <c r="M20" s="114" t="n"/>
      <c r="N20" s="114" t="n"/>
      <c r="O20" s="37" t="n"/>
    </row>
    <row r="21" ht="7.5" customHeight="1">
      <c r="A21" s="37" t="n"/>
      <c r="B21" s="28" t="inlineStr">
        <is>
          <t>Startdatum (erster Arbeitstag)</t>
        </is>
      </c>
      <c r="C21" s="28" t="n"/>
      <c r="D21" s="28" t="n"/>
      <c r="E21" s="28" t="n"/>
      <c r="F21" s="28" t="n"/>
      <c r="G21" s="28" t="n"/>
      <c r="H21" s="100" t="n"/>
      <c r="I21" s="28" t="inlineStr">
        <is>
          <t>Email Ansprechpartner*in</t>
        </is>
      </c>
      <c r="J21" s="100" t="n"/>
      <c r="K21" s="100" t="n"/>
      <c r="L21" s="100" t="n"/>
      <c r="M21" s="100" t="n"/>
      <c r="N21" s="100" t="n"/>
      <c r="O21" s="37" t="n"/>
    </row>
    <row r="22" ht="7.5" customHeight="1">
      <c r="A22" s="37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37" t="n"/>
    </row>
    <row r="23">
      <c r="A23" s="37" t="n"/>
      <c r="B23" s="115" t="n">
        <v>46234</v>
      </c>
      <c r="C23" s="114" t="n"/>
      <c r="D23" s="114" t="n"/>
      <c r="E23" s="114" t="n"/>
      <c r="F23" s="114" t="n"/>
      <c r="G23" s="114" t="n"/>
      <c r="H23" s="100" t="n"/>
      <c r="I23" s="104" t="inlineStr">
        <is>
          <t>⟨Telefon Betreuer⟩</t>
        </is>
      </c>
      <c r="J23" s="114" t="n"/>
      <c r="K23" s="114" t="n"/>
      <c r="L23" s="114" t="n"/>
      <c r="M23" s="114" t="n"/>
      <c r="N23" s="114" t="n"/>
      <c r="O23" s="37" t="n"/>
    </row>
    <row r="24" ht="7.5" customHeight="1">
      <c r="A24" s="37" t="n"/>
      <c r="B24" s="28" t="inlineStr">
        <is>
          <t>Enddatum (letzter Arbeitstag)</t>
        </is>
      </c>
      <c r="C24" s="28" t="n"/>
      <c r="D24" s="28" t="n"/>
      <c r="E24" s="28" t="n"/>
      <c r="F24" s="28" t="n"/>
      <c r="G24" s="28" t="n"/>
      <c r="H24" s="100" t="n"/>
      <c r="I24" s="28" t="inlineStr">
        <is>
          <t>Telefon Ansprechpartner*in</t>
        </is>
      </c>
      <c r="J24" s="100" t="n"/>
      <c r="K24" s="100" t="n"/>
      <c r="L24" s="100" t="n"/>
      <c r="M24" s="100" t="n"/>
      <c r="N24" s="100" t="n"/>
      <c r="O24" s="37" t="n"/>
    </row>
    <row r="25" ht="7.5" customHeight="1">
      <c r="A25" s="37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37" t="n"/>
    </row>
    <row r="26">
      <c r="A26" s="37" t="n"/>
      <c r="B26" s="104" t="inlineStr">
        <is>
          <t>ja</t>
        </is>
      </c>
      <c r="C26" s="100" t="n"/>
      <c r="D26" s="100" t="n"/>
      <c r="E26" s="100" t="n"/>
      <c r="F26" s="100" t="n"/>
      <c r="G26" s="100" t="n"/>
      <c r="H26" s="100" t="n"/>
      <c r="I26" s="104" t="inlineStr">
        <is>
          <t>Stiftstraße</t>
        </is>
      </c>
      <c r="J26" s="114" t="n"/>
      <c r="K26" s="114" t="n"/>
      <c r="L26" s="114" t="n"/>
      <c r="M26" s="100" t="n"/>
      <c r="N26" s="54" t="n">
        <v>20</v>
      </c>
      <c r="O26" s="37" t="n"/>
    </row>
    <row r="27" ht="7.5" customHeight="1">
      <c r="A27" s="37" t="n"/>
      <c r="B27" s="28" t="inlineStr">
        <is>
          <t xml:space="preserve">Vorlesung begleitend </t>
        </is>
      </c>
      <c r="C27" s="28" t="n"/>
      <c r="D27" s="28" t="n"/>
      <c r="E27" s="28" t="n"/>
      <c r="F27" s="28" t="n"/>
      <c r="G27" s="28" t="n"/>
      <c r="H27" s="100" t="n"/>
      <c r="I27" s="28" t="inlineStr">
        <is>
          <t>Strasse Betrieb</t>
        </is>
      </c>
      <c r="J27" s="100" t="n"/>
      <c r="K27" s="100" t="n"/>
      <c r="L27" s="100" t="n"/>
      <c r="M27" s="100" t="n"/>
      <c r="N27" s="28" t="inlineStr">
        <is>
          <t>Nummer</t>
        </is>
      </c>
      <c r="O27" s="37" t="n"/>
    </row>
    <row r="28" ht="7.5" customHeight="1">
      <c r="A28" s="37" t="n"/>
      <c r="B28" s="28" t="inlineStr">
        <is>
          <t>zum Praktikum besucht</t>
        </is>
      </c>
      <c r="C28" s="28" t="n"/>
      <c r="D28" s="28" t="n"/>
      <c r="E28" s="28" t="n"/>
      <c r="F28" s="28" t="n"/>
      <c r="G28" s="28" t="n"/>
      <c r="H28" s="100" t="n"/>
      <c r="I28" s="100" t="n"/>
      <c r="J28" s="100" t="n"/>
      <c r="K28" s="100" t="n"/>
      <c r="L28" s="100" t="n"/>
      <c r="M28" s="100" t="n"/>
      <c r="N28" s="100" t="n"/>
      <c r="O28" s="37" t="n"/>
    </row>
    <row r="29">
      <c r="A29" s="37" t="n"/>
      <c r="B29" s="28" t="n"/>
      <c r="C29" s="28" t="n"/>
      <c r="D29" s="28" t="n"/>
      <c r="E29" s="28" t="n"/>
      <c r="F29" s="28" t="n"/>
      <c r="G29" s="28" t="n"/>
      <c r="H29" s="100" t="n"/>
      <c r="I29" s="104" t="inlineStr">
        <is>
          <t>93343</t>
        </is>
      </c>
      <c r="J29" s="114" t="n"/>
      <c r="K29" s="100" t="n"/>
      <c r="L29" s="104" t="inlineStr">
        <is>
          <t>Essing</t>
        </is>
      </c>
      <c r="M29" s="114" t="n"/>
      <c r="N29" s="114" t="n"/>
      <c r="O29" s="37" t="n"/>
    </row>
    <row r="30" ht="7.5" customHeight="1">
      <c r="A30" s="37" t="n"/>
      <c r="B30" s="28" t="n"/>
      <c r="C30" s="28" t="n"/>
      <c r="D30" s="28" t="n"/>
      <c r="E30" s="28" t="n"/>
      <c r="F30" s="28" t="n"/>
      <c r="G30" s="28" t="n"/>
      <c r="H30" s="100" t="n"/>
      <c r="I30" s="28" t="inlineStr">
        <is>
          <t>PLZ</t>
        </is>
      </c>
      <c r="J30" s="100" t="n"/>
      <c r="K30" s="100" t="n"/>
      <c r="L30" s="28" t="inlineStr">
        <is>
          <t>Ort</t>
        </is>
      </c>
      <c r="M30" s="100" t="n"/>
      <c r="N30" s="100" t="n"/>
      <c r="O30" s="37" t="n"/>
    </row>
    <row r="31" ht="7.5" customHeight="1">
      <c r="A31" s="37" t="n"/>
      <c r="B31" s="28" t="n"/>
      <c r="C31" s="28" t="n"/>
      <c r="D31" s="28" t="n"/>
      <c r="E31" s="28" t="n"/>
      <c r="F31" s="28" t="n"/>
      <c r="G31" s="28" t="n"/>
      <c r="H31" s="100" t="n"/>
      <c r="I31" s="100" t="n"/>
      <c r="J31" s="100" t="n"/>
      <c r="K31" s="100" t="n"/>
      <c r="L31" s="100" t="n"/>
      <c r="M31" s="100" t="n"/>
      <c r="N31" s="100" t="n"/>
      <c r="O31" s="37" t="n"/>
    </row>
    <row r="32">
      <c r="A32" s="37" t="n"/>
      <c r="B32" s="54" t="n">
        <v>38</v>
      </c>
      <c r="C32" s="28" t="inlineStr">
        <is>
          <t>Stunden pro Woche</t>
        </is>
      </c>
      <c r="D32" s="37" t="n"/>
      <c r="E32" s="28" t="n"/>
      <c r="F32" s="28" t="n"/>
      <c r="G32" s="28" t="n"/>
      <c r="H32" s="100" t="n"/>
      <c r="I32" s="104" t="inlineStr">
        <is>
          <t>Deutschland</t>
        </is>
      </c>
      <c r="J32" s="114" t="n"/>
      <c r="K32" s="114" t="n"/>
      <c r="L32" s="114" t="n"/>
      <c r="M32" s="114" t="n"/>
      <c r="N32" s="114" t="n"/>
      <c r="O32" s="37" t="n"/>
    </row>
    <row r="33" ht="7.5" customHeight="1">
      <c r="A33" s="37" t="n"/>
      <c r="B33" s="28" t="inlineStr">
        <is>
          <t xml:space="preserve">Arbeitszeit in </t>
        </is>
      </c>
      <c r="C33" s="28" t="n"/>
      <c r="D33" s="28" t="n"/>
      <c r="E33" s="28" t="n"/>
      <c r="F33" s="28" t="n"/>
      <c r="G33" s="28" t="n"/>
      <c r="H33" s="100" t="n"/>
      <c r="I33" s="28" t="inlineStr">
        <is>
          <t>Land</t>
        </is>
      </c>
      <c r="J33" s="100" t="n"/>
      <c r="K33" s="100" t="n"/>
      <c r="L33" s="100" t="n"/>
      <c r="M33" s="100" t="n"/>
      <c r="N33" s="100" t="n"/>
      <c r="O33" s="37" t="n"/>
    </row>
    <row r="34" ht="7.5" customHeight="1">
      <c r="A34" s="37" t="n"/>
      <c r="B34" s="28" t="inlineStr">
        <is>
          <t>der Abteilung</t>
        </is>
      </c>
      <c r="C34" s="28" t="n"/>
      <c r="D34" s="28" t="n"/>
      <c r="E34" s="28" t="n"/>
      <c r="F34" s="28" t="n"/>
      <c r="G34" s="28" t="n"/>
      <c r="H34" s="100" t="n"/>
      <c r="I34" s="100" t="n"/>
      <c r="J34" s="100" t="n"/>
      <c r="K34" s="100" t="n"/>
      <c r="L34" s="100" t="n"/>
      <c r="M34" s="100" t="n"/>
      <c r="N34" s="100" t="n"/>
      <c r="O34" s="37" t="n"/>
    </row>
    <row r="35" ht="7.5" customHeight="1">
      <c r="A35" s="37" t="n"/>
      <c r="B35" s="28" t="n"/>
      <c r="C35" s="28" t="n"/>
      <c r="D35" s="28" t="n"/>
      <c r="E35" s="28" t="n"/>
      <c r="F35" s="28" t="n"/>
      <c r="G35" s="28" t="n"/>
      <c r="H35" s="100" t="n"/>
      <c r="I35" s="100" t="n"/>
      <c r="J35" s="100" t="n"/>
      <c r="K35" s="100" t="n"/>
      <c r="L35" s="100" t="n"/>
      <c r="M35" s="100" t="n"/>
      <c r="N35" s="100" t="n"/>
      <c r="O35" s="37" t="n"/>
    </row>
    <row r="36" ht="7.5" customHeight="1">
      <c r="A36" s="37" t="n"/>
      <c r="B36" s="28" t="n"/>
      <c r="C36" s="28" t="n"/>
      <c r="D36" s="28" t="n"/>
      <c r="E36" s="28" t="n"/>
      <c r="F36" s="28" t="n"/>
      <c r="G36" s="28" t="n"/>
      <c r="H36" s="100" t="n"/>
      <c r="I36" s="100" t="n"/>
      <c r="J36" s="100" t="n"/>
      <c r="K36" s="100" t="n"/>
      <c r="L36" s="100" t="n"/>
      <c r="M36" s="100" t="n"/>
      <c r="N36" s="100" t="n"/>
      <c r="O36" s="37" t="n"/>
    </row>
    <row r="37" ht="14.25" customHeight="1">
      <c r="A37" s="37" t="n"/>
      <c r="B37" s="104" t="inlineStr">
        <is>
          <t>Logistik und Transport</t>
        </is>
      </c>
      <c r="C37" s="114" t="n"/>
      <c r="D37" s="114" t="n"/>
      <c r="E37" s="114" t="n"/>
      <c r="F37" s="114" t="n"/>
      <c r="G37" s="114" t="n"/>
      <c r="H37" s="100" t="n"/>
      <c r="I37" s="104" t="inlineStr">
        <is>
          <t>Anlagen- und Maschinenbau</t>
        </is>
      </c>
      <c r="J37" s="114" t="n"/>
      <c r="K37" s="114" t="n"/>
      <c r="L37" s="114" t="n"/>
      <c r="M37" s="114" t="n"/>
      <c r="N37" s="114" t="n"/>
      <c r="O37" s="37" t="n"/>
    </row>
    <row r="38" ht="7.5" customHeight="1">
      <c r="A38" s="37" t="n"/>
      <c r="B38" s="28" t="inlineStr">
        <is>
          <t>Tätigkeitsbereich 1 (Bezeichung der Tätigkeit)</t>
        </is>
      </c>
      <c r="C38" s="28" t="n"/>
      <c r="D38" s="28" t="n"/>
      <c r="E38" s="28" t="n"/>
      <c r="F38" s="28" t="n"/>
      <c r="G38" s="28" t="n"/>
      <c r="H38" s="100" t="n"/>
      <c r="I38" s="28" t="inlineStr">
        <is>
          <t>Branche</t>
        </is>
      </c>
      <c r="J38" s="100" t="n"/>
      <c r="K38" s="100" t="n"/>
      <c r="L38" s="100" t="n"/>
      <c r="M38" s="100" t="n"/>
      <c r="N38" s="100" t="n"/>
      <c r="O38" s="37" t="n"/>
    </row>
    <row r="39" ht="7.5" customHeight="1">
      <c r="A39" s="37" t="n"/>
      <c r="B39" s="28" t="n"/>
      <c r="C39" s="28" t="n"/>
      <c r="D39" s="28" t="n"/>
      <c r="E39" s="28" t="n"/>
      <c r="F39" s="28" t="n"/>
      <c r="G39" s="28" t="n"/>
      <c r="H39" s="100" t="n"/>
      <c r="I39" s="100" t="n"/>
      <c r="J39" s="100" t="n"/>
      <c r="K39" s="100" t="n"/>
      <c r="L39" s="100" t="n"/>
      <c r="M39" s="100" t="n"/>
      <c r="N39" s="100" t="n"/>
      <c r="O39" s="37" t="n"/>
    </row>
    <row r="40" ht="14.25" customHeight="1">
      <c r="A40" s="37" t="n"/>
      <c r="B40" s="104" t="inlineStr">
        <is>
          <t>Informatik und Software</t>
        </is>
      </c>
      <c r="C40" s="114" t="n"/>
      <c r="D40" s="114" t="n"/>
      <c r="E40" s="114" t="n"/>
      <c r="F40" s="114" t="n"/>
      <c r="G40" s="114" t="n"/>
      <c r="H40" s="100" t="n"/>
      <c r="I40" s="100" t="n"/>
      <c r="J40" s="100" t="n"/>
      <c r="K40" s="100" t="n"/>
      <c r="L40" s="100" t="n"/>
      <c r="M40" s="100" t="n"/>
      <c r="N40" s="100" t="n"/>
      <c r="O40" s="37" t="n"/>
    </row>
    <row r="41" ht="7.5" customHeight="1">
      <c r="A41" s="37" t="n"/>
      <c r="B41" s="28" t="inlineStr">
        <is>
          <t>Tätigkeitsbereich 2 (Bezeichung der Tätigkeit)</t>
        </is>
      </c>
      <c r="C41" s="28" t="n"/>
      <c r="D41" s="28" t="n"/>
      <c r="E41" s="28" t="n"/>
      <c r="F41" s="28" t="n"/>
      <c r="G41" s="28" t="n"/>
      <c r="H41" s="100" t="n"/>
      <c r="I41" s="100" t="n"/>
      <c r="J41" s="100" t="n"/>
      <c r="K41" s="100" t="n"/>
      <c r="L41" s="100" t="n"/>
      <c r="M41" s="100" t="n"/>
      <c r="N41" s="100" t="n"/>
      <c r="O41" s="37" t="n"/>
    </row>
    <row r="42" ht="8.25" customHeight="1">
      <c r="A42" s="37" t="n"/>
      <c r="B42" s="28" t="n"/>
      <c r="C42" s="28" t="n"/>
      <c r="D42" s="28" t="n"/>
      <c r="E42" s="28" t="n"/>
      <c r="F42" s="28" t="n"/>
      <c r="G42" s="28" t="n"/>
      <c r="H42" s="100" t="n"/>
      <c r="I42" s="100" t="n"/>
      <c r="J42" s="100" t="n"/>
      <c r="K42" s="100" t="n"/>
      <c r="L42" s="100" t="n"/>
      <c r="M42" s="100" t="n"/>
      <c r="N42" s="100" t="n"/>
      <c r="O42" s="37" t="n"/>
    </row>
    <row r="43" ht="14.25" customHeight="1">
      <c r="A43" s="37" t="n"/>
      <c r="B43" s="104" t="inlineStr">
        <is>
          <t>Beratung und Planung</t>
        </is>
      </c>
      <c r="C43" s="114" t="n"/>
      <c r="D43" s="114" t="n"/>
      <c r="E43" s="114" t="n"/>
      <c r="F43" s="114" t="n"/>
      <c r="G43" s="114" t="n"/>
      <c r="H43" s="100" t="n"/>
      <c r="I43" s="100" t="n"/>
      <c r="J43" s="100" t="n"/>
      <c r="K43" s="100" t="n"/>
      <c r="L43" s="100" t="n"/>
      <c r="M43" s="100" t="n"/>
      <c r="N43" s="100" t="n"/>
      <c r="O43" s="37" t="n"/>
    </row>
    <row r="44" ht="7.5" customHeight="1">
      <c r="A44" s="37" t="n"/>
      <c r="B44" s="28" t="inlineStr">
        <is>
          <t>Tätigkeitsbereich 3 (Bezeichung der Tätigkeit)</t>
        </is>
      </c>
      <c r="C44" s="28" t="n"/>
      <c r="D44" s="28" t="n"/>
      <c r="E44" s="28" t="n"/>
      <c r="F44" s="28" t="n"/>
      <c r="G44" s="28" t="n"/>
      <c r="H44" s="100" t="n"/>
      <c r="I44" s="100" t="n"/>
      <c r="J44" s="100" t="n"/>
      <c r="K44" s="100" t="n"/>
      <c r="L44" s="100" t="n"/>
      <c r="M44" s="100" t="n"/>
      <c r="N44" s="100" t="n"/>
      <c r="O44" s="37" t="n"/>
    </row>
    <row r="45" ht="7.5" customHeight="1">
      <c r="A45" s="37" t="n"/>
      <c r="B45" s="28" t="n"/>
      <c r="C45" s="28" t="n"/>
      <c r="D45" s="28" t="n"/>
      <c r="E45" s="28" t="n"/>
      <c r="F45" s="28" t="n"/>
      <c r="G45" s="28" t="n"/>
      <c r="H45" s="100" t="n"/>
      <c r="I45" s="100" t="n"/>
      <c r="J45" s="100" t="n"/>
      <c r="K45" s="100" t="n"/>
      <c r="L45" s="100" t="n"/>
      <c r="M45" s="100" t="n"/>
      <c r="N45" s="100" t="n"/>
      <c r="O45" s="37" t="n"/>
    </row>
    <row r="46" ht="14.25" customHeight="1">
      <c r="A46" s="37" t="n"/>
      <c r="B46" s="104" t="inlineStr">
        <is>
          <t>Konstruktion</t>
        </is>
      </c>
      <c r="C46" s="114" t="n"/>
      <c r="D46" s="114" t="n"/>
      <c r="E46" s="114" t="n"/>
      <c r="F46" s="114" t="n"/>
      <c r="G46" s="114" t="n"/>
      <c r="H46" s="100" t="n"/>
      <c r="I46" s="100" t="n"/>
      <c r="J46" s="100" t="n"/>
      <c r="K46" s="100" t="n"/>
      <c r="L46" s="100" t="n"/>
      <c r="M46" s="100" t="n"/>
      <c r="N46" s="100" t="n"/>
      <c r="O46" s="37" t="n"/>
    </row>
    <row r="47" ht="7.5" customHeight="1">
      <c r="A47" s="37" t="n"/>
      <c r="B47" s="28" t="inlineStr">
        <is>
          <t>Tätigkeitsbereich 4 (Bezeichung der Tätigkeit)</t>
        </is>
      </c>
      <c r="C47" s="28" t="n"/>
      <c r="D47" s="28" t="n"/>
      <c r="E47" s="28" t="n"/>
      <c r="F47" s="28" t="n"/>
      <c r="G47" s="28" t="n"/>
      <c r="H47" s="100" t="n"/>
      <c r="I47" s="100" t="n"/>
      <c r="J47" s="100" t="n"/>
      <c r="K47" s="100" t="n"/>
      <c r="L47" s="100" t="n"/>
      <c r="M47" s="100" t="n"/>
      <c r="N47" s="100" t="n"/>
      <c r="O47" s="37" t="n"/>
    </row>
    <row r="48" ht="7.5" customHeight="1">
      <c r="A48" s="37" t="n"/>
      <c r="B48" s="28" t="n"/>
      <c r="C48" s="28" t="n"/>
      <c r="D48" s="28" t="n"/>
      <c r="E48" s="28" t="n"/>
      <c r="F48" s="28" t="n"/>
      <c r="G48" s="28" t="n"/>
      <c r="H48" s="100" t="n"/>
      <c r="I48" s="100" t="n"/>
      <c r="J48" s="100" t="n"/>
      <c r="K48" s="100" t="n"/>
      <c r="L48" s="100" t="n"/>
      <c r="M48" s="100" t="n"/>
      <c r="N48" s="100" t="n"/>
      <c r="O48" s="37" t="n"/>
    </row>
    <row r="49" ht="14.25" customHeight="1">
      <c r="A49" s="37" t="n"/>
      <c r="B49" s="104" t="inlineStr">
        <is>
          <t>Beratung und Planung</t>
        </is>
      </c>
      <c r="C49" s="114" t="n"/>
      <c r="D49" s="114" t="n"/>
      <c r="E49" s="114" t="n"/>
      <c r="F49" s="114" t="n"/>
      <c r="G49" s="114" t="n"/>
      <c r="H49" s="100" t="n"/>
      <c r="I49" s="100" t="n"/>
      <c r="J49" s="100" t="n"/>
      <c r="K49" s="100" t="n"/>
      <c r="L49" s="100" t="n"/>
      <c r="M49" s="100" t="n"/>
      <c r="N49" s="100" t="n"/>
      <c r="O49" s="37" t="n"/>
    </row>
    <row r="50" ht="7.5" customHeight="1">
      <c r="A50" s="37" t="n"/>
      <c r="B50" s="28" t="inlineStr">
        <is>
          <t>Tätigkeitsbereich 5 (Bezeichung der Tätigkeit, Freitext)</t>
        </is>
      </c>
      <c r="C50" s="28" t="n"/>
      <c r="D50" s="28" t="n"/>
      <c r="E50" s="28" t="n"/>
      <c r="F50" s="28" t="n"/>
      <c r="G50" s="28" t="n"/>
      <c r="H50" s="100" t="n"/>
      <c r="I50" s="100" t="n"/>
      <c r="J50" s="100" t="n"/>
      <c r="K50" s="100" t="n"/>
      <c r="L50" s="100" t="n"/>
      <c r="M50" s="100" t="n"/>
      <c r="N50" s="100" t="n"/>
      <c r="O50" s="37" t="n"/>
    </row>
    <row r="51" ht="7.5" customHeight="1">
      <c r="A51" s="37" t="n"/>
      <c r="B51" s="28" t="n"/>
      <c r="C51" s="28" t="n"/>
      <c r="D51" s="28" t="n"/>
      <c r="E51" s="28" t="n"/>
      <c r="F51" s="28" t="n"/>
      <c r="G51" s="28" t="n"/>
      <c r="H51" s="100" t="n"/>
      <c r="I51" s="100" t="n"/>
      <c r="J51" s="100" t="n"/>
      <c r="K51" s="100" t="n"/>
      <c r="L51" s="100" t="n"/>
      <c r="M51" s="100" t="n"/>
      <c r="N51" s="100" t="n"/>
      <c r="O51" s="37" t="n"/>
    </row>
    <row r="52" ht="7.5" customHeight="1">
      <c r="A52" s="37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37" t="n"/>
    </row>
    <row r="53">
      <c r="A53" s="37" t="n"/>
      <c r="B53" s="30" t="inlineStr">
        <is>
          <t>Stand:</t>
        </is>
      </c>
      <c r="C53" s="31" t="inlineStr">
        <is>
          <t>Rev007</t>
        </is>
      </c>
      <c r="D53" s="32" t="n">
        <v>44252</v>
      </c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3" t="n"/>
      <c r="O53" s="37" t="n"/>
    </row>
    <row r="54">
      <c r="A54" s="37" t="n"/>
      <c r="B54" s="34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35" t="n"/>
      <c r="O54" s="37" t="n"/>
    </row>
    <row r="55">
      <c r="A55" s="37" t="n"/>
      <c r="B55" s="36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8" t="n"/>
      <c r="O55" s="37" t="n"/>
    </row>
    <row r="56">
      <c r="A56" s="37" t="n"/>
      <c r="B56" s="39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40" t="n"/>
      <c r="O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</row>
  </sheetData>
  <sheetProtection selectLockedCells="1" selectUnlockedCells="0" algorithmName="SHA-512" sheet="1" objects="1" insertRows="0" insertHyperlinks="0" autoFilter="0" scenarios="1" formatColumns="0" deleteColumns="0" insertColumns="0" pivotTables="0" deleteRows="0" formatCells="0" saltValue="TFVgzQvRtJcHn/9OrAWO5A==" formatRows="0" sort="0" spinCount="100000" hashValue="QuD/Q5PkfkUza+UOMOpkuMljzcC7SnWf8G+CGhROI0GqaI90cWetg/Iu6jicyDS+Oz24JSGOZJxlIbqP7ICZzw=="/>
  <mergeCells count="25">
    <mergeCell ref="B2:G2"/>
    <mergeCell ref="I32:N32"/>
    <mergeCell ref="B14:G14"/>
    <mergeCell ref="I37:N37"/>
    <mergeCell ref="B17:G17"/>
    <mergeCell ref="B23:G23"/>
    <mergeCell ref="B8:G8"/>
    <mergeCell ref="L29:N29"/>
    <mergeCell ref="I5:N5"/>
    <mergeCell ref="B37:G37"/>
    <mergeCell ref="I14:N14"/>
    <mergeCell ref="I17:N17"/>
    <mergeCell ref="I23:N23"/>
    <mergeCell ref="B49:G49"/>
    <mergeCell ref="I8:N8"/>
    <mergeCell ref="B40:G40"/>
    <mergeCell ref="I20:N20"/>
    <mergeCell ref="B20:G20"/>
    <mergeCell ref="I26:L26"/>
    <mergeCell ref="B5:G5"/>
    <mergeCell ref="I29:J29"/>
    <mergeCell ref="I11:N11"/>
    <mergeCell ref="B46:G46"/>
    <mergeCell ref="B43:G43"/>
    <mergeCell ref="B11:G11"/>
  </mergeCells>
  <dataValidations count="2">
    <dataValidation sqref="B26" showDropDown="0" showInputMessage="1" showErrorMessage="1" allowBlank="1" type="list">
      <formula1>"ja,nein"</formula1>
    </dataValidation>
    <dataValidation sqref="B2:G2 I8:N8" showDropDown="0" showInputMessage="1" showErrorMessage="1" allowBlank="1" errorTitle="Auswahlfehler" error="Es sind nur die vorgegebenen Eingaben zulässig_x000a_" promptTitle="Anrede" prompt="Bitte geben Sie die gewünschte Anrede ein." type="list">
      <formula1>"Herr, Frau, divers"</formula1>
    </dataValidation>
  </dataValidations>
  <hyperlinks>
    <hyperlink xmlns:r="http://schemas.openxmlformats.org/officeDocument/2006/relationships" ref="B17" r:id="rId1"/>
  </hyperlinks>
  <pageMargins left="0.7" right="0.7" top="0.787401575" bottom="0.787401575" header="0.3" footer="0.3"/>
  <pageSetup orientation="portrait" paperSize="9" scale="79" horizontalDpi="300"/>
</worksheet>
</file>

<file path=xl/worksheets/sheet3.xml><?xml version="1.0" encoding="utf-8"?>
<worksheet xmlns="http://schemas.openxmlformats.org/spreadsheetml/2006/main">
  <sheetPr codeName="Tabelle1">
    <outlinePr summaryBelow="1" summaryRight="1"/>
    <pageSetUpPr fitToPage="1"/>
  </sheetPr>
  <dimension ref="A1:AA1048576"/>
  <sheetViews>
    <sheetView tabSelected="1" view="pageBreakPreview" topLeftCell="A137" zoomScaleNormal="90" zoomScaleSheetLayoutView="100" zoomScalePageLayoutView="130" workbookViewId="0">
      <selection activeCell="H212" sqref="H212"/>
    </sheetView>
  </sheetViews>
  <sheetFormatPr baseColWidth="8" defaultColWidth="11.43359375" defaultRowHeight="13.5"/>
  <cols>
    <col width="4.4375" customWidth="1" style="1" min="1" max="1"/>
    <col width="5.51171875" customWidth="1" style="1" min="2" max="2"/>
    <col width="12.9140625" customWidth="1" style="1" min="3" max="3"/>
    <col width="4.16796875" customWidth="1" style="1" min="4" max="4"/>
    <col width="7.26171875" customWidth="1" style="1" min="5" max="5"/>
    <col width="3.359375" customWidth="1" style="1" min="6" max="6"/>
    <col width="5.24609375" customWidth="1" style="1" min="7" max="7"/>
    <col width="83" customWidth="1" style="1" min="8" max="8"/>
    <col width="7.12890625" customWidth="1" style="1" min="9" max="9"/>
    <col width="10.76171875" customWidth="1" style="1" min="10" max="11"/>
    <col width="7.12890625" customWidth="1" style="1" min="12" max="12"/>
    <col width="6.72265625" customWidth="1" style="1" min="13" max="17"/>
    <col width="11.43359375" customWidth="1" style="1" min="18" max="16384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</row>
    <row r="2">
      <c r="A2" s="106">
        <f>Student_Name</f>
        <v/>
      </c>
      <c r="B2" s="116" t="n"/>
      <c r="C2" s="116" t="n"/>
      <c r="D2" s="116" t="n"/>
      <c r="E2" s="116" t="n"/>
      <c r="F2" s="116" t="n"/>
      <c r="G2" s="100" t="n"/>
      <c r="H2" s="106">
        <f>Ausbildungsbetrieb_Unternehmen</f>
        <v/>
      </c>
      <c r="I2" s="100" t="n"/>
      <c r="J2" s="100" t="n"/>
      <c r="K2" s="100" t="n"/>
      <c r="L2" s="100" t="n"/>
    </row>
    <row r="3" ht="7.5" customFormat="1" customHeight="1" s="23">
      <c r="A3" s="28" t="inlineStr">
        <is>
          <t>Name</t>
        </is>
      </c>
      <c r="B3" s="28" t="n"/>
      <c r="C3" s="28" t="n"/>
      <c r="D3" s="28" t="n"/>
      <c r="E3" s="28" t="n"/>
      <c r="F3" s="28" t="n"/>
      <c r="G3" s="28" t="n"/>
      <c r="H3" s="28" t="inlineStr">
        <is>
          <t>Ausbildungsbetrieb</t>
        </is>
      </c>
      <c r="I3" s="28" t="n"/>
      <c r="J3" s="28" t="n"/>
      <c r="K3" s="28" t="n"/>
      <c r="L3" s="28" t="n"/>
    </row>
    <row r="4" ht="7.5" customHeight="1">
      <c r="A4" s="100" t="n"/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100" t="n"/>
    </row>
    <row r="5">
      <c r="A5" s="106">
        <f>Student_Vorname</f>
        <v/>
      </c>
      <c r="B5" s="116" t="n"/>
      <c r="C5" s="116" t="n"/>
      <c r="D5" s="116" t="n"/>
      <c r="E5" s="116" t="n"/>
      <c r="F5" s="116" t="n"/>
      <c r="G5" s="100" t="n"/>
      <c r="H5" s="106">
        <f>CONCATENATE(Ausbildungsbetrieb_Vorname, " ", Ausbildungsbetrieb_Name)</f>
        <v/>
      </c>
      <c r="I5" s="100" t="n"/>
      <c r="J5" s="100" t="n"/>
      <c r="K5" s="100" t="n"/>
      <c r="L5" s="100" t="n"/>
    </row>
    <row r="6" ht="7.5" customFormat="1" customHeight="1" s="23">
      <c r="A6" s="28" t="inlineStr">
        <is>
          <t>Vorname</t>
        </is>
      </c>
      <c r="B6" s="28" t="n"/>
      <c r="C6" s="28" t="n"/>
      <c r="D6" s="28" t="n"/>
      <c r="E6" s="28" t="n"/>
      <c r="F6" s="28" t="n"/>
      <c r="G6" s="28" t="n"/>
      <c r="H6" s="28" t="inlineStr">
        <is>
          <t>Ansprechpartner im Betrieb</t>
        </is>
      </c>
      <c r="I6" s="28" t="n"/>
      <c r="J6" s="28" t="n"/>
      <c r="K6" s="28" t="n"/>
      <c r="L6" s="28" t="n"/>
    </row>
    <row r="7" ht="7.5" customHeight="1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</row>
    <row r="8">
      <c r="A8" s="106">
        <f>Student_Studiengruppe</f>
        <v/>
      </c>
      <c r="B8" s="116" t="n"/>
      <c r="C8" s="116" t="n"/>
      <c r="D8" s="116" t="n"/>
      <c r="E8" s="116" t="n"/>
      <c r="F8" s="116" t="n"/>
      <c r="G8" s="100" t="n"/>
      <c r="H8" s="106">
        <f>Ausbildungsbetrieb_Email</f>
        <v/>
      </c>
      <c r="I8" s="100" t="n"/>
      <c r="J8" s="100" t="n"/>
      <c r="K8" s="100" t="n"/>
      <c r="L8" s="100" t="n"/>
    </row>
    <row r="9" ht="7.5" customFormat="1" customHeight="1" s="23">
      <c r="A9" s="28" t="inlineStr">
        <is>
          <t>Studiengruppe</t>
        </is>
      </c>
      <c r="B9" s="28" t="n"/>
      <c r="C9" s="28" t="n"/>
      <c r="D9" s="28" t="n"/>
      <c r="E9" s="28" t="n"/>
      <c r="F9" s="28" t="n"/>
      <c r="G9" s="28" t="n"/>
      <c r="H9" s="28" t="inlineStr">
        <is>
          <t>Email Ansprechpartner</t>
        </is>
      </c>
      <c r="I9" s="28" t="n"/>
      <c r="J9" s="28" t="n"/>
      <c r="K9" s="28" t="n"/>
      <c r="L9" s="28" t="n"/>
    </row>
    <row r="10" ht="7.5" customHeight="1">
      <c r="A10" s="100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</row>
    <row r="11">
      <c r="A11" s="106">
        <f>Student_Matrikelnummer</f>
        <v/>
      </c>
      <c r="B11" s="116" t="n"/>
      <c r="C11" s="116" t="n"/>
      <c r="D11" s="116" t="n"/>
      <c r="E11" s="116" t="n"/>
      <c r="F11" s="116" t="n"/>
      <c r="G11" s="100" t="n"/>
      <c r="H11" s="106">
        <f>Ausbildungsbetrieb_Telefon</f>
        <v/>
      </c>
      <c r="I11" s="100" t="n"/>
      <c r="J11" s="100" t="n"/>
      <c r="K11" s="100" t="n"/>
      <c r="L11" s="100" t="n"/>
    </row>
    <row r="12" ht="7.5" customFormat="1" customHeight="1" s="23">
      <c r="A12" s="28" t="inlineStr">
        <is>
          <t>Matrikelnummer</t>
        </is>
      </c>
      <c r="B12" s="28" t="n"/>
      <c r="C12" s="28" t="n"/>
      <c r="D12" s="28" t="n"/>
      <c r="E12" s="28" t="n"/>
      <c r="F12" s="28" t="n"/>
      <c r="G12" s="28" t="n"/>
      <c r="H12" s="28" t="inlineStr">
        <is>
          <t>Telefon Ansprechpartner</t>
        </is>
      </c>
      <c r="I12" s="28" t="n"/>
      <c r="J12" s="28" t="n"/>
      <c r="K12" s="28" t="n"/>
      <c r="L12" s="28" t="n"/>
    </row>
    <row r="13" ht="7.5" customHeight="1" thickBot="1">
      <c r="A13" s="100" t="n"/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100" t="n"/>
      <c r="K13" s="100" t="n"/>
      <c r="L13" s="100" t="n"/>
    </row>
    <row r="14">
      <c r="A14" s="14" t="n"/>
      <c r="B14" s="15" t="n"/>
      <c r="C14" s="15" t="n"/>
      <c r="D14" s="15" t="n"/>
      <c r="E14" s="15" t="inlineStr">
        <is>
          <t>Typ</t>
        </is>
      </c>
      <c r="F14" s="15" t="n"/>
      <c r="G14" s="15" t="n"/>
      <c r="H14" s="16" t="inlineStr">
        <is>
          <t>Vorlesung besucht?</t>
        </is>
      </c>
      <c r="I14" s="85" t="n"/>
      <c r="J14" s="85" t="n"/>
      <c r="K14" s="85" t="n"/>
      <c r="L14" s="85" t="n"/>
    </row>
    <row r="15" ht="45" customHeight="1" thickBot="1">
      <c r="A15" s="107" t="inlineStr">
        <is>
          <t>Tag</t>
        </is>
      </c>
      <c r="B15" s="117" t="n"/>
      <c r="C15" s="17" t="inlineStr">
        <is>
          <t>Datum</t>
        </is>
      </c>
      <c r="D15" s="17" t="n"/>
      <c r="E15" s="109" t="inlineStr">
        <is>
          <t>Anwesen-heitszeit im Betrieb</t>
        </is>
      </c>
      <c r="F15" s="117" t="n"/>
      <c r="G15" s="109" t="n"/>
      <c r="H15" s="19" t="inlineStr">
        <is>
          <t>genaue Angaben zu den Tätigkeiten</t>
        </is>
      </c>
      <c r="I15" s="85" t="n"/>
      <c r="J15" s="85" t="n"/>
      <c r="K15" s="85" t="n"/>
      <c r="L15" s="85" t="n"/>
    </row>
    <row r="16" ht="26.25" customHeight="1">
      <c r="A16" s="56" t="n">
        <v>1</v>
      </c>
      <c r="B16" s="57">
        <f>IF(WEEKDAY(C16,2)=1,"Mo",IF(WEEKDAY(C16,2)=2,"Di",IF(WEEKDAY(C16,2)=3,"Mi",IF(WEEKDAY(C16,2)=4,"Do.",IF(WEEKDAY(C16,2)=5,"Fr.",IF(WEEKDAY(C16,2)=6,"Sa.","So"))))))</f>
        <v/>
      </c>
      <c r="C16" s="58">
        <f>Startdatum</f>
        <v/>
      </c>
      <c r="D16" s="59" t="inlineStr">
        <is>
          <t>A</t>
        </is>
      </c>
      <c r="E16" s="60" t="n">
        <v>8.5</v>
      </c>
      <c r="F16" s="91" t="inlineStr">
        <is>
          <t>h</t>
        </is>
      </c>
      <c r="G16" s="8" t="inlineStr">
        <is>
          <t>nein</t>
        </is>
      </c>
      <c r="H16" s="61" t="inlineStr">
        <is>
          <t>Begrüßung und Einführung im Betrieb, Rundgang durch Werkstatt, Lager und Büro. Teilnahme an der Sicherheitsunterweisung und Einweisung in die Hausordnung.</t>
        </is>
      </c>
      <c r="I16" s="86" t="n"/>
      <c r="J16" s="86" t="inlineStr"/>
      <c r="K16" s="86" t="n"/>
      <c r="L16" s="86" t="n"/>
      <c r="N16" s="88" t="n"/>
    </row>
    <row r="17" ht="26.25" customHeight="1">
      <c r="A17" s="62">
        <f>A16+1</f>
        <v/>
      </c>
      <c r="B17" s="63">
        <f>IF(WEEKDAY(C17,2)=1,"Mo",IF(WEEKDAY(C17,2)=2,"Di",IF(WEEKDAY(C17,2)=3,"Mi",IF(WEEKDAY(C17,2)=4,"Do.",IF(WEEKDAY(C17,2)=5,"Fr.",IF(WEEKDAY(C17,2)=6,"Sa.","So"))))))</f>
        <v/>
      </c>
      <c r="C17" s="64">
        <f>C16+1</f>
        <v/>
      </c>
      <c r="D17" s="65" t="inlineStr">
        <is>
          <t>A</t>
        </is>
      </c>
      <c r="E17" s="97" t="n">
        <v>9</v>
      </c>
      <c r="F17" s="92" t="inlineStr">
        <is>
          <t>h</t>
        </is>
      </c>
      <c r="G17" s="96" t="inlineStr">
        <is>
          <t>nein</t>
        </is>
      </c>
      <c r="H17" s="67" t="inlineStr">
        <is>
          <t>Unterweisung an den Maschinen und Arbeitsplätzen durch den Betreuer. Persönliche Schutzausrüstung erhalten, Arbeitsplatz und Rechner eingerichtet, Zugänge zur CAD-Software und zu den Netzlaufwerken angelegt.</t>
        </is>
      </c>
      <c r="I17" s="86" t="n"/>
      <c r="J17" s="86" t="n"/>
      <c r="K17" s="86" t="n"/>
      <c r="L17" s="86" t="n"/>
      <c r="N17" s="88" t="n"/>
    </row>
    <row r="18" ht="39" customHeight="1">
      <c r="A18" s="62">
        <f>A17+1</f>
        <v/>
      </c>
      <c r="B18" s="63">
        <f>IF(WEEKDAY(C18,2)=1,"Mo",IF(WEEKDAY(C18,2)=2,"Di",IF(WEEKDAY(C18,2)=3,"Mi",IF(WEEKDAY(C18,2)=4,"Do.",IF(WEEKDAY(C18,2)=5,"Fr.",IF(WEEKDAY(C18,2)=6,"Sa.","So"))))))</f>
        <v/>
      </c>
      <c r="C18" s="64">
        <f>C17+1</f>
        <v/>
      </c>
      <c r="D18" s="65" t="inlineStr">
        <is>
          <t>A</t>
        </is>
      </c>
      <c r="E18" s="97" t="n">
        <v>8.25</v>
      </c>
      <c r="F18" s="92" t="inlineStr">
        <is>
          <t>h</t>
        </is>
      </c>
      <c r="G18" s="96" t="inlineStr">
        <is>
          <t>nein</t>
        </is>
      </c>
      <c r="H18" s="67" t="inlineStr">
        <is>
          <t>Aufgaben des Praxissemesters mit dem Betreuer besprochen und zeitlich eingeordnet. Abläufe von der Auftragsannahme bis zur Auslieferung kennengelernt und bei laufenden Arbeiten in der Werkstatt mitgeholfen.</t>
        </is>
      </c>
      <c r="I18" s="86" t="n"/>
      <c r="J18" s="86" t="n"/>
      <c r="K18" s="86" t="n"/>
      <c r="L18" s="86" t="n"/>
      <c r="N18" s="88" t="n"/>
    </row>
    <row r="19" ht="39" customHeight="1">
      <c r="A19" s="62">
        <f>A18+1</f>
        <v/>
      </c>
      <c r="B19" s="63">
        <f>IF(WEEKDAY(C19,2)=1,"Mo",IF(WEEKDAY(C19,2)=2,"Di",IF(WEEKDAY(C19,2)=3,"Mi",IF(WEEKDAY(C19,2)=4,"Do.",IF(WEEKDAY(C19,2)=5,"Fr.",IF(WEEKDAY(C19,2)=6,"Sa.","So"))))))</f>
        <v/>
      </c>
      <c r="C19" s="64">
        <f>C18+1</f>
        <v/>
      </c>
      <c r="D19" s="65" t="inlineStr">
        <is>
          <t>A</t>
        </is>
      </c>
      <c r="E19" s="97" t="n">
        <v>9.25</v>
      </c>
      <c r="F19" s="92" t="inlineStr">
        <is>
          <t>h</t>
        </is>
      </c>
      <c r="G19" s="96" t="inlineStr">
        <is>
          <t>nein</t>
        </is>
      </c>
      <c r="H19" s="94" t="inlineStr">
        <is>
          <t>Aufgabenstellung zum Schraubenlager erhalten und mit dem Betreuer besprochen. Das neue Regal im Keller angeschaut und vermessen (6 Fächer, je 930 × 500 mm), Ausgangszustand fotografiert.</t>
        </is>
      </c>
      <c r="I19" s="86" t="n"/>
      <c r="J19" s="86" t="n"/>
      <c r="K19" s="86" t="n"/>
      <c r="L19" s="86" t="n"/>
      <c r="N19" s="88" t="n"/>
    </row>
    <row r="20">
      <c r="A20" s="62">
        <f>A19+1</f>
        <v/>
      </c>
      <c r="B20" s="63">
        <f>IF(WEEKDAY(C20,2)=1,"Mo",IF(WEEKDAY(C20,2)=2,"Di",IF(WEEKDAY(C20,2)=3,"Mi",IF(WEEKDAY(C20,2)=4,"Do.",IF(WEEKDAY(C20,2)=5,"Fr.",IF(WEEKDAY(C20,2)=6,"Sa.","So"))))))</f>
        <v/>
      </c>
      <c r="C20" s="64">
        <f>C19+1</f>
        <v/>
      </c>
      <c r="D20" s="65" t="inlineStr">
        <is>
          <t>A</t>
        </is>
      </c>
      <c r="E20" s="97" t="n">
        <v>7.75</v>
      </c>
      <c r="F20" s="92" t="inlineStr">
        <is>
          <t>h</t>
        </is>
      </c>
      <c r="G20" s="96" t="inlineStr">
        <is>
          <t>nein</t>
        </is>
      </c>
      <c r="H20" s="67" t="inlineStr">
        <is>
          <t>Bestandsaufnahme begonnen: Zylinderkopf- und Sechskantschrauben nach Gewinde (M5–M20) und Länge erfasst. Matrix-Struktur Gewinde × Länge in Excel angelegt.</t>
        </is>
      </c>
      <c r="I20" s="86" t="n"/>
      <c r="J20" s="86" t="n"/>
      <c r="K20" s="86" t="n"/>
      <c r="L20" s="86" t="n"/>
      <c r="N20" s="88" t="n"/>
    </row>
    <row r="21">
      <c r="A21" s="62">
        <f>A20+1</f>
        <v/>
      </c>
      <c r="B21" s="63">
        <f>IF(WEEKDAY(C21,2)=1,"Mo",IF(WEEKDAY(C21,2)=2,"Di",IF(WEEKDAY(C21,2)=3,"Mi",IF(WEEKDAY(C21,2)=4,"Do.",IF(WEEKDAY(C21,2)=5,"Fr.",IF(WEEKDAY(C21,2)=6,"Sa.","So"))))))</f>
        <v/>
      </c>
      <c r="C21" s="64">
        <f>C20+1</f>
        <v/>
      </c>
      <c r="D21" s="65" t="n"/>
      <c r="E21" s="97" t="n"/>
      <c r="F21" s="92" t="inlineStr">
        <is>
          <t>h</t>
        </is>
      </c>
      <c r="G21" s="96" t="inlineStr">
        <is>
          <t>nein</t>
        </is>
      </c>
      <c r="H21" s="67" t="n"/>
      <c r="I21" s="86" t="n"/>
      <c r="J21" s="86" t="n"/>
      <c r="K21" s="86" t="n"/>
      <c r="L21" s="86" t="n"/>
      <c r="N21" s="88" t="n"/>
    </row>
    <row r="22">
      <c r="A22" s="62">
        <f>A21+1</f>
        <v/>
      </c>
      <c r="B22" s="63">
        <f>IF(WEEKDAY(C22,2)=1,"Mo",IF(WEEKDAY(C22,2)=2,"Di",IF(WEEKDAY(C22,2)=3,"Mi",IF(WEEKDAY(C22,2)=4,"Do.",IF(WEEKDAY(C22,2)=5,"Fr.",IF(WEEKDAY(C22,2)=6,"Sa.","So"))))))</f>
        <v/>
      </c>
      <c r="C22" s="64">
        <f>C21+1</f>
        <v/>
      </c>
      <c r="D22" s="65" t="n"/>
      <c r="E22" s="97" t="n"/>
      <c r="F22" s="92" t="inlineStr">
        <is>
          <t>h</t>
        </is>
      </c>
      <c r="G22" s="96" t="inlineStr">
        <is>
          <t>nein</t>
        </is>
      </c>
      <c r="H22" s="67" t="n"/>
      <c r="I22" s="86" t="n"/>
      <c r="J22" s="86" t="n"/>
      <c r="K22" s="86" t="n"/>
      <c r="L22" s="86" t="n"/>
      <c r="N22" s="88" t="n"/>
    </row>
    <row r="23" ht="39" customHeight="1">
      <c r="A23" s="62">
        <f>A22+1</f>
        <v/>
      </c>
      <c r="B23" s="63">
        <f>IF(WEEKDAY(C23,2)=1,"Mo",IF(WEEKDAY(C23,2)=2,"Di",IF(WEEKDAY(C23,2)=3,"Mi",IF(WEEKDAY(C23,2)=4,"Do.",IF(WEEKDAY(C23,2)=5,"Fr.",IF(WEEKDAY(C23,2)=6,"Sa.","So"))))))</f>
        <v/>
      </c>
      <c r="C23" s="64">
        <f>C22+1</f>
        <v/>
      </c>
      <c r="D23" s="65" t="inlineStr">
        <is>
          <t>A</t>
        </is>
      </c>
      <c r="E23" s="97" t="n">
        <v>8.75</v>
      </c>
      <c r="F23" s="92" t="inlineStr">
        <is>
          <t>h</t>
        </is>
      </c>
      <c r="G23" s="96" t="inlineStr">
        <is>
          <t>nein</t>
        </is>
      </c>
      <c r="H23" s="94" t="inlineStr">
        <is>
          <t>Bestandsaufnahme mit Holz- und Schloßschrauben abgeschlossen. Insgesamt 135 Sorten erfasst; beim Gegenprüfen drei Rechenfehler in den Ausgangsdateien gefunden und korrigiert.</t>
        </is>
      </c>
      <c r="I23" s="86" t="n"/>
      <c r="J23" s="86" t="n"/>
      <c r="K23" s="86" t="n"/>
      <c r="L23" s="86" t="n"/>
      <c r="N23" s="88" t="n"/>
    </row>
    <row r="24" ht="51" customHeight="1">
      <c r="A24" s="62">
        <f>A23+1</f>
        <v/>
      </c>
      <c r="B24" s="63">
        <f>IF(WEEKDAY(C24,2)=1,"Mo",IF(WEEKDAY(C24,2)=2,"Di",IF(WEEKDAY(C24,2)=3,"Mi",IF(WEEKDAY(C24,2)=4,"Do.",IF(WEEKDAY(C24,2)=5,"Fr.",IF(WEEKDAY(C24,2)=6,"Sa.","So"))))))</f>
        <v/>
      </c>
      <c r="C24" s="64">
        <f>C23+1</f>
        <v/>
      </c>
      <c r="D24" s="65" t="inlineStr">
        <is>
          <t>A</t>
        </is>
      </c>
      <c r="E24" s="97" t="n">
        <v>9.5</v>
      </c>
      <c r="F24" s="92" t="inlineStr">
        <is>
          <t>h</t>
        </is>
      </c>
      <c r="G24" s="96" t="inlineStr">
        <is>
          <t>nein</t>
        </is>
      </c>
      <c r="H24" s="67" t="inlineStr">
        <is>
          <t>Bestand ausgewertet: Verteilung nach Typ, Gewindegröße und Länge zusammengestellt und eine ABC-Analyse durchgeführt. Schwerpunkt bei M8 und M10, daraus die drei Boxgrößen S, M und L abgeleitet.</t>
        </is>
      </c>
      <c r="I24" s="86" t="n"/>
      <c r="J24" s="86" t="n"/>
      <c r="K24" s="86" t="n"/>
      <c r="L24" s="86" t="n"/>
      <c r="N24" s="88" t="n"/>
    </row>
    <row r="25" ht="63.75" customHeight="1">
      <c r="A25" s="62">
        <f>A24+1</f>
        <v/>
      </c>
      <c r="B25" s="63">
        <f>IF(WEEKDAY(C25,2)=1,"Mo",IF(WEEKDAY(C25,2)=2,"Di",IF(WEEKDAY(C25,2)=3,"Mi",IF(WEEKDAY(C25,2)=4,"Do.",IF(WEEKDAY(C25,2)=5,"Fr.",IF(WEEKDAY(C25,2)=6,"Sa.","So"))))))</f>
        <v/>
      </c>
      <c r="C25" s="64">
        <f>C24+1</f>
        <v/>
      </c>
      <c r="D25" s="65" t="inlineStr">
        <is>
          <t>A</t>
        </is>
      </c>
      <c r="E25" s="97" t="n">
        <v>8</v>
      </c>
      <c r="F25" s="92" t="inlineStr">
        <is>
          <t>h</t>
        </is>
      </c>
      <c r="G25" s="96" t="inlineStr">
        <is>
          <t>nein</t>
        </is>
      </c>
      <c r="H25" s="94" t="inlineStr">
        <is>
          <t>Ordnungskonzepte für die vier Schraubentypen erstellt: je Typ die vollständige Matrix aufgebaut und zwei Schubladenvarianten entwickelt und verglichen.</t>
        </is>
      </c>
      <c r="I25" s="86" t="n"/>
      <c r="J25" s="86" t="n"/>
      <c r="K25" s="86" t="n"/>
      <c r="L25" s="86" t="n"/>
      <c r="N25" s="88" t="n"/>
    </row>
    <row r="26" ht="63.75" customHeight="1">
      <c r="A26" s="62">
        <f>A25+1</f>
        <v/>
      </c>
      <c r="B26" s="63">
        <f>IF(WEEKDAY(C26,2)=1,"Mo",IF(WEEKDAY(C26,2)=2,"Di",IF(WEEKDAY(C26,2)=3,"Mi",IF(WEEKDAY(C26,2)=4,"Do.",IF(WEEKDAY(C26,2)=5,"Fr.",IF(WEEKDAY(C26,2)=6,"Sa.","So"))))))</f>
        <v/>
      </c>
      <c r="C26" s="64">
        <f>C25+1</f>
        <v/>
      </c>
      <c r="D26" s="65" t="inlineStr">
        <is>
          <t>A</t>
        </is>
      </c>
      <c r="E26" s="97" t="n">
        <v>8.58</v>
      </c>
      <c r="F26" s="92" t="inlineStr">
        <is>
          <t>h</t>
        </is>
      </c>
      <c r="G26" s="96" t="inlineStr">
        <is>
          <t>nein</t>
        </is>
      </c>
      <c r="H26" s="94" t="inlineStr">
        <is>
          <t>Alle vier Typen in einer Gesamtmatrix zusammengeführt, Schubladeneinteilung nach Länge festgelegt und den Gesamtbedarf ermittelt: 14 kleine, 81 mittlere und 40 große Behälter.</t>
        </is>
      </c>
      <c r="I26" s="86" t="n"/>
      <c r="J26" s="86" t="n"/>
      <c r="K26" s="86" t="n"/>
      <c r="L26" s="86" t="n"/>
      <c r="N26" s="88" t="n"/>
    </row>
    <row r="27">
      <c r="A27" s="62">
        <f>A26+1</f>
        <v/>
      </c>
      <c r="B27" s="63">
        <f>IF(WEEKDAY(C27,2)=1,"Mo",IF(WEEKDAY(C27,2)=2,"Di",IF(WEEKDAY(C27,2)=3,"Mi",IF(WEEKDAY(C27,2)=4,"Do.",IF(WEEKDAY(C27,2)=5,"Fr.",IF(WEEKDAY(C27,2)=6,"Sa.","So"))))))</f>
        <v/>
      </c>
      <c r="C27" s="64">
        <f>C26+1</f>
        <v/>
      </c>
      <c r="D27" s="65" t="inlineStr">
        <is>
          <t>A</t>
        </is>
      </c>
      <c r="E27" s="97" t="n">
        <v>9</v>
      </c>
      <c r="F27" s="92" t="inlineStr">
        <is>
          <t>h</t>
        </is>
      </c>
      <c r="G27" s="96" t="inlineStr">
        <is>
          <t>nein</t>
        </is>
      </c>
      <c r="H27" s="67" t="inlineStr">
        <is>
          <t>Boxen- und Regallayout geplant: Rastermaß 100 mm festgelegt, Boxgrößen mit 102, 115 und 145 mm definiert und die Anzahl Boxen je Fach mit den Regalmaßen abgeglichen.</t>
        </is>
      </c>
      <c r="I27" s="86" t="n"/>
      <c r="J27" s="86" t="n"/>
      <c r="K27" s="86" t="n"/>
      <c r="L27" s="86" t="n"/>
      <c r="N27" s="88" t="n"/>
    </row>
    <row r="28">
      <c r="A28" s="62">
        <f>A27+1</f>
        <v/>
      </c>
      <c r="B28" s="63">
        <f>IF(WEEKDAY(C28,2)=1,"Mo",IF(WEEKDAY(C28,2)=2,"Di",IF(WEEKDAY(C28,2)=3,"Mi",IF(WEEKDAY(C28,2)=4,"Do.",IF(WEEKDAY(C28,2)=5,"Fr.",IF(WEEKDAY(C28,2)=6,"Sa.","So"))))))</f>
        <v/>
      </c>
      <c r="C28" s="64">
        <f>C27+1</f>
        <v/>
      </c>
      <c r="D28" s="65" t="n"/>
      <c r="E28" s="97" t="n"/>
      <c r="F28" s="92" t="inlineStr">
        <is>
          <t>h</t>
        </is>
      </c>
      <c r="G28" s="96" t="inlineStr">
        <is>
          <t>nein</t>
        </is>
      </c>
      <c r="H28" s="67" t="n"/>
      <c r="I28" s="86" t="n"/>
      <c r="J28" s="86" t="n"/>
      <c r="K28" s="86" t="n"/>
      <c r="L28" s="86" t="n"/>
      <c r="N28" s="88" t="n"/>
    </row>
    <row r="29">
      <c r="A29" s="62">
        <f>A28+1</f>
        <v/>
      </c>
      <c r="B29" s="63">
        <f>IF(WEEKDAY(C29,2)=1,"Mo",IF(WEEKDAY(C29,2)=2,"Di",IF(WEEKDAY(C29,2)=3,"Mi",IF(WEEKDAY(C29,2)=4,"Do.",IF(WEEKDAY(C29,2)=5,"Fr.",IF(WEEKDAY(C29,2)=6,"Sa.","So"))))))</f>
        <v/>
      </c>
      <c r="C29" s="64">
        <f>C28+1</f>
        <v/>
      </c>
      <c r="D29" s="65" t="n"/>
      <c r="E29" s="97" t="n"/>
      <c r="F29" s="92" t="inlineStr">
        <is>
          <t>h</t>
        </is>
      </c>
      <c r="G29" s="96" t="inlineStr">
        <is>
          <t>nein</t>
        </is>
      </c>
      <c r="H29" s="67" t="n"/>
      <c r="I29" s="86" t="n"/>
      <c r="J29" s="86" t="n"/>
      <c r="K29" s="86" t="n"/>
      <c r="L29" s="86" t="n"/>
      <c r="N29" s="88" t="n"/>
    </row>
    <row r="30" ht="39" customHeight="1">
      <c r="A30" s="62">
        <f>A29+1</f>
        <v/>
      </c>
      <c r="B30" s="63">
        <f>IF(WEEKDAY(C30,2)=1,"Mo",IF(WEEKDAY(C30,2)=2,"Di",IF(WEEKDAY(C30,2)=3,"Mi",IF(WEEKDAY(C30,2)=4,"Do.",IF(WEEKDAY(C30,2)=5,"Fr.",IF(WEEKDAY(C30,2)=6,"Sa.","So"))))))</f>
        <v/>
      </c>
      <c r="C30" s="64">
        <f>C29+1</f>
        <v/>
      </c>
      <c r="D30" s="65" t="inlineStr">
        <is>
          <t>A</t>
        </is>
      </c>
      <c r="E30" s="97" t="n">
        <v>8.25</v>
      </c>
      <c r="F30" s="92" t="inlineStr">
        <is>
          <t>h</t>
        </is>
      </c>
      <c r="G30" s="96" t="inlineStr">
        <is>
          <t>nein</t>
        </is>
      </c>
      <c r="H30" s="94" t="inlineStr">
        <is>
          <t>Behälter und Fach-Varianten im CAD konstruiert (12 bis 27 Boxen je Fach) und daraus drei komplette Regalvarianten mit 144, 156 und 162 Boxplätzen aufgebaut.</t>
        </is>
      </c>
      <c r="I30" s="86" t="n"/>
      <c r="J30" s="86" t="n"/>
      <c r="K30" s="86" t="n"/>
      <c r="L30" s="86" t="n"/>
      <c r="N30" s="88" t="n"/>
    </row>
    <row r="31" ht="39" customHeight="1">
      <c r="A31" s="62">
        <f>A30+1</f>
        <v/>
      </c>
      <c r="B31" s="63">
        <f>IF(WEEKDAY(C31,2)=1,"Mo",IF(WEEKDAY(C31,2)=2,"Di",IF(WEEKDAY(C31,2)=3,"Mi",IF(WEEKDAY(C31,2)=4,"Do.",IF(WEEKDAY(C31,2)=5,"Fr.",IF(WEEKDAY(C31,2)=6,"Sa.","So"))))))</f>
        <v/>
      </c>
      <c r="C31" s="64">
        <f>C30+1</f>
        <v/>
      </c>
      <c r="D31" s="65" t="inlineStr">
        <is>
          <t>A</t>
        </is>
      </c>
      <c r="E31" s="97" t="n">
        <v>7.5</v>
      </c>
      <c r="F31" s="92" t="inlineStr">
        <is>
          <t>h</t>
        </is>
      </c>
      <c r="G31" s="96" t="inlineStr">
        <is>
          <t>nein</t>
        </is>
      </c>
      <c r="H31" s="94" t="inlineStr">
        <is>
          <t>Nutzwertanalyse der drei Regalvarianten aufgestellt und gewichtet, Kapazitätsnachweis gerechnet (144 Plätze für 135 Sorten) und die Variante S · M · L als Empfehlung begründet.</t>
        </is>
      </c>
      <c r="I31" s="86" t="n"/>
      <c r="J31" s="86" t="n"/>
      <c r="K31" s="86" t="n"/>
      <c r="L31" s="86" t="n"/>
      <c r="N31" s="88" t="n"/>
    </row>
    <row r="32" ht="26.25" customHeight="1">
      <c r="A32" s="62">
        <f>A31+1</f>
        <v/>
      </c>
      <c r="B32" s="63">
        <f>IF(WEEKDAY(C32,2)=1,"Mo",IF(WEEKDAY(C32,2)=2,"Di",IF(WEEKDAY(C32,2)=3,"Mi",IF(WEEKDAY(C32,2)=4,"Do.",IF(WEEKDAY(C32,2)=5,"Fr.",IF(WEEKDAY(C32,2)=6,"Sa.","So"))))))</f>
        <v/>
      </c>
      <c r="C32" s="64">
        <f>C31+1</f>
        <v/>
      </c>
      <c r="D32" s="65" t="inlineStr">
        <is>
          <t>VA</t>
        </is>
      </c>
      <c r="E32" s="97" t="n">
        <v>5.5</v>
      </c>
      <c r="F32" s="92" t="inlineStr">
        <is>
          <t>h</t>
        </is>
      </c>
      <c r="G32" s="96" t="inlineStr">
        <is>
          <t>ja</t>
        </is>
      </c>
      <c r="H32" s="94" t="inlineStr">
        <is>
          <t>Belegungsplan erstellt: jeder der 135 Sorten einen festen, beschrifteten Platz zugeordnet. Bezugsquellen recherchiert, Ergebnisse dem Betreuer vorgestellt und eine Arbeitsanweisung für die Materialentnahme entworfen.</t>
        </is>
      </c>
      <c r="I32" s="86" t="n"/>
      <c r="J32" s="86" t="n"/>
      <c r="K32" s="86" t="n"/>
      <c r="L32" s="86" t="n"/>
      <c r="N32" s="88" t="n"/>
    </row>
    <row r="33" ht="39" customHeight="1">
      <c r="A33" s="62">
        <f>A32+1</f>
        <v/>
      </c>
      <c r="B33" s="63">
        <f>IF(WEEKDAY(C33,2)=1,"Mo",IF(WEEKDAY(C33,2)=2,"Di",IF(WEEKDAY(C33,2)=3,"Mi",IF(WEEKDAY(C33,2)=4,"Do.",IF(WEEKDAY(C33,2)=5,"Fr.",IF(WEEKDAY(C33,2)=6,"Sa.","So"))))))</f>
        <v/>
      </c>
      <c r="C33" s="64">
        <f>C32+1</f>
        <v/>
      </c>
      <c r="D33" s="65" t="inlineStr">
        <is>
          <t>A</t>
        </is>
      </c>
      <c r="E33" s="97" t="n">
        <v>8.75</v>
      </c>
      <c r="F33" s="92" t="inlineStr">
        <is>
          <t>h</t>
        </is>
      </c>
      <c r="G33" s="96" t="inlineStr">
        <is>
          <t>nein</t>
        </is>
      </c>
      <c r="H33" s="94" t="inlineStr">
        <is>
          <t>Mit dem digitalen Lagerbestand-System begonnen: Aufbau der Excel-Arbeitsmappe festgelegt und die Artikelliste mit Barcode, Bezeichnung, Profil, Maß, Material und Bestand angelegt.</t>
        </is>
      </c>
      <c r="I33" s="86" t="n"/>
      <c r="J33" s="86" t="n"/>
      <c r="K33" s="86" t="n"/>
      <c r="L33" s="86" t="n"/>
      <c r="N33" s="88" t="n"/>
    </row>
    <row r="34">
      <c r="A34" s="62">
        <f>A33+1</f>
        <v/>
      </c>
      <c r="B34" s="63">
        <f>IF(WEEKDAY(C34,2)=1,"Mo",IF(WEEKDAY(C34,2)=2,"Di",IF(WEEKDAY(C34,2)=3,"Mi",IF(WEEKDAY(C34,2)=4,"Do.",IF(WEEKDAY(C34,2)=5,"Fr.",IF(WEEKDAY(C34,2)=6,"Sa.","So"))))))</f>
        <v/>
      </c>
      <c r="C34" s="64">
        <f>C33+1</f>
        <v/>
      </c>
      <c r="D34" s="65" t="inlineStr">
        <is>
          <t>K</t>
        </is>
      </c>
      <c r="E34" s="97" t="n"/>
      <c r="F34" s="92" t="inlineStr">
        <is>
          <t>h</t>
        </is>
      </c>
      <c r="G34" s="96" t="inlineStr">
        <is>
          <t>nein</t>
        </is>
      </c>
      <c r="H34" s="67" t="inlineStr">
        <is>
          <t>Krank</t>
        </is>
      </c>
      <c r="I34" s="86" t="n"/>
      <c r="J34" s="86" t="n"/>
      <c r="K34" s="86" t="n"/>
      <c r="L34" s="86" t="n"/>
      <c r="N34" s="88" t="n"/>
    </row>
    <row r="35">
      <c r="A35" s="62">
        <f>A34+1</f>
        <v/>
      </c>
      <c r="B35" s="63">
        <f>IF(WEEKDAY(C35,2)=1,"Mo",IF(WEEKDAY(C35,2)=2,"Di",IF(WEEKDAY(C35,2)=3,"Mi",IF(WEEKDAY(C35,2)=4,"Do.",IF(WEEKDAY(C35,2)=5,"Fr.",IF(WEEKDAY(C35,2)=6,"Sa.","So"))))))</f>
        <v/>
      </c>
      <c r="C35" s="64">
        <f>C34+1</f>
        <v/>
      </c>
      <c r="D35" s="65" t="n"/>
      <c r="E35" s="97" t="n"/>
      <c r="F35" s="92" t="inlineStr">
        <is>
          <t>h</t>
        </is>
      </c>
      <c r="G35" s="96" t="inlineStr">
        <is>
          <t>nein</t>
        </is>
      </c>
      <c r="H35" s="67" t="n"/>
      <c r="I35" s="86" t="n"/>
      <c r="J35" s="86" t="n"/>
      <c r="K35" s="86" t="n"/>
      <c r="L35" s="86" t="n"/>
      <c r="N35" s="88" t="n"/>
    </row>
    <row r="36">
      <c r="A36" s="62">
        <f>A35+1</f>
        <v/>
      </c>
      <c r="B36" s="63">
        <f>IF(WEEKDAY(C36,2)=1,"Mo",IF(WEEKDAY(C36,2)=2,"Di",IF(WEEKDAY(C36,2)=3,"Mi",IF(WEEKDAY(C36,2)=4,"Do.",IF(WEEKDAY(C36,2)=5,"Fr.",IF(WEEKDAY(C36,2)=6,"Sa.","So"))))))</f>
        <v/>
      </c>
      <c r="C36" s="64">
        <f>C35+1</f>
        <v/>
      </c>
      <c r="D36" s="65" t="n"/>
      <c r="E36" s="97" t="n"/>
      <c r="F36" s="92" t="inlineStr">
        <is>
          <t>h</t>
        </is>
      </c>
      <c r="G36" s="96" t="inlineStr">
        <is>
          <t>nein</t>
        </is>
      </c>
      <c r="H36" s="67" t="n"/>
      <c r="I36" s="86" t="n"/>
      <c r="J36" s="86" t="n"/>
      <c r="K36" s="86" t="n"/>
      <c r="L36" s="86" t="n"/>
      <c r="N36" s="88" t="n"/>
    </row>
    <row r="37">
      <c r="A37" s="62">
        <f>A36+1</f>
        <v/>
      </c>
      <c r="B37" s="63">
        <f>IF(WEEKDAY(C37,2)=1,"Mo",IF(WEEKDAY(C37,2)=2,"Di",IF(WEEKDAY(C37,2)=3,"Mi",IF(WEEKDAY(C37,2)=4,"Do.",IF(WEEKDAY(C37,2)=5,"Fr.",IF(WEEKDAY(C37,2)=6,"Sa.","So"))))))</f>
        <v/>
      </c>
      <c r="C37" s="64">
        <f>C36+1</f>
        <v/>
      </c>
      <c r="D37" s="65" t="inlineStr">
        <is>
          <t>A</t>
        </is>
      </c>
      <c r="E37" s="97" t="n">
        <v>9.25</v>
      </c>
      <c r="F37" s="92" t="inlineStr">
        <is>
          <t>h</t>
        </is>
      </c>
      <c r="G37" s="96" t="inlineStr">
        <is>
          <t>nein</t>
        </is>
      </c>
      <c r="H37" s="67" t="inlineStr">
        <is>
          <t>Zweites Tabellenblatt für das Verlaufsprotokoll aufgebaut: jede Buchung wird mit Zeitstempel, Buchungsart und Mengenänderung festgehalten.</t>
        </is>
      </c>
      <c r="I37" s="86" t="n"/>
      <c r="J37" s="86" t="n"/>
      <c r="K37" s="86" t="n"/>
      <c r="L37" s="86" t="n"/>
    </row>
    <row r="38">
      <c r="A38" s="62">
        <f>A37+1</f>
        <v/>
      </c>
      <c r="B38" s="63">
        <f>IF(WEEKDAY(C38,2)=1,"Mo",IF(WEEKDAY(C38,2)=2,"Di",IF(WEEKDAY(C38,2)=3,"Mi",IF(WEEKDAY(C38,2)=4,"Do.",IF(WEEKDAY(C38,2)=5,"Fr.",IF(WEEKDAY(C38,2)=6,"Sa.","So"))))))</f>
        <v/>
      </c>
      <c r="C38" s="64">
        <f>C37+1</f>
        <v/>
      </c>
      <c r="D38" s="65" t="inlineStr">
        <is>
          <t>A</t>
        </is>
      </c>
      <c r="E38" s="97" t="n">
        <v>8.5</v>
      </c>
      <c r="F38" s="92" t="inlineStr">
        <is>
          <t>h</t>
        </is>
      </c>
      <c r="G38" s="96" t="inlineStr">
        <is>
          <t>nein</t>
        </is>
      </c>
      <c r="H38" s="67" t="inlineStr">
        <is>
          <t>Erste VBA-Makros geschrieben: Ein- und Ausbuchen über ein Eingabefeld, Menge abfragen und Bestand fortschreiben.</t>
        </is>
      </c>
      <c r="I38" s="86" t="n"/>
      <c r="J38" s="86" t="n"/>
      <c r="K38" s="86" t="n"/>
      <c r="L38" s="86" t="n"/>
    </row>
    <row r="39" ht="26.25" customHeight="1">
      <c r="A39" s="62">
        <f>A38+1</f>
        <v/>
      </c>
      <c r="B39" s="63">
        <f>IF(WEEKDAY(C39,2)=1,"Mo",IF(WEEKDAY(C39,2)=2,"Di",IF(WEEKDAY(C39,2)=3,"Mi",IF(WEEKDAY(C39,2)=4,"Do.",IF(WEEKDAY(C39,2)=5,"Fr.",IF(WEEKDAY(C39,2)=6,"Sa.","So"))))))</f>
        <v/>
      </c>
      <c r="C39" s="64">
        <f>C38+1</f>
        <v/>
      </c>
      <c r="D39" s="65" t="inlineStr">
        <is>
          <t>VA</t>
        </is>
      </c>
      <c r="E39" s="97" t="n">
        <v>6</v>
      </c>
      <c r="F39" s="92" t="inlineStr">
        <is>
          <t>h</t>
        </is>
      </c>
      <c r="G39" s="96" t="inlineStr">
        <is>
          <t>ja</t>
        </is>
      </c>
      <c r="H39" s="95" t="inlineStr">
        <is>
          <t>Barcode-Suche umgesetzt: Der eingescannte Code springt zum Artikel und zeigt alle Felder im Dashboard an.</t>
        </is>
      </c>
      <c r="I39" s="86" t="n"/>
      <c r="J39" s="86" t="n"/>
      <c r="K39" s="86" t="n"/>
      <c r="L39" s="86" t="n"/>
    </row>
    <row r="40" ht="39" customHeight="1">
      <c r="A40" s="62">
        <f>A39+1</f>
        <v/>
      </c>
      <c r="B40" s="63">
        <f>IF(WEEKDAY(C40,2)=1,"Mo",IF(WEEKDAY(C40,2)=2,"Di",IF(WEEKDAY(C40,2)=3,"Mi",IF(WEEKDAY(C40,2)=4,"Do.",IF(WEEKDAY(C40,2)=5,"Fr.",IF(WEEKDAY(C40,2)=6,"Sa.","So"))))))</f>
        <v/>
      </c>
      <c r="C40" s="64">
        <f>C39+1</f>
        <v/>
      </c>
      <c r="D40" s="65" t="inlineStr">
        <is>
          <t>A</t>
        </is>
      </c>
      <c r="E40" s="97" t="n">
        <v>8.92</v>
      </c>
      <c r="F40" s="92" t="inlineStr">
        <is>
          <t>h</t>
        </is>
      </c>
      <c r="G40" s="96" t="inlineStr">
        <is>
          <t>nein</t>
        </is>
      </c>
      <c r="H40" s="94" t="inlineStr">
        <is>
          <t>Dashboard als Bedienoberfläche gestaltet: Scannfunktionen links, Suchergebnis in der Mitte, Exportbereich rechts.</t>
        </is>
      </c>
      <c r="I40" s="86" t="n"/>
      <c r="J40" s="86" t="n"/>
      <c r="K40" s="86" t="n"/>
      <c r="L40" s="86" t="n"/>
    </row>
    <row r="41">
      <c r="A41" s="62">
        <f>A40+1</f>
        <v/>
      </c>
      <c r="B41" s="63">
        <f>IF(WEEKDAY(C41,2)=1,"Mo",IF(WEEKDAY(C41,2)=2,"Di",IF(WEEKDAY(C41,2)=3,"Mi",IF(WEEKDAY(C41,2)=4,"Do.",IF(WEEKDAY(C41,2)=5,"Fr.",IF(WEEKDAY(C41,2)=6,"Sa.","So"))))))</f>
        <v/>
      </c>
      <c r="C41" s="64">
        <f>C40+1</f>
        <v/>
      </c>
      <c r="D41" s="65" t="inlineStr">
        <is>
          <t>A</t>
        </is>
      </c>
      <c r="E41" s="97" t="n">
        <v>9</v>
      </c>
      <c r="F41" s="92" t="inlineStr">
        <is>
          <t>h</t>
        </is>
      </c>
      <c r="G41" s="96" t="inlineStr">
        <is>
          <t>nein</t>
        </is>
      </c>
      <c r="H41" s="67" t="inlineStr">
        <is>
          <t>Automatische Färbung des Bestands nach Soll- und Ist-Wert eingebaut, damit knapper Bestand sofort auffällt.</t>
        </is>
      </c>
      <c r="I41" s="86" t="n"/>
      <c r="J41" s="86" t="n"/>
      <c r="K41" s="86" t="n"/>
      <c r="L41" s="86" t="n"/>
    </row>
    <row r="42">
      <c r="A42" s="62">
        <f>A41+1</f>
        <v/>
      </c>
      <c r="B42" s="63">
        <f>IF(WEEKDAY(C42,2)=1,"Mo",IF(WEEKDAY(C42,2)=2,"Di",IF(WEEKDAY(C42,2)=3,"Mi",IF(WEEKDAY(C42,2)=4,"Do.",IF(WEEKDAY(C42,2)=5,"Fr.",IF(WEEKDAY(C42,2)=6,"Sa.","So"))))))</f>
        <v/>
      </c>
      <c r="C42" s="64">
        <f>C41+1</f>
        <v/>
      </c>
      <c r="D42" s="65" t="n"/>
      <c r="E42" s="97" t="n"/>
      <c r="F42" s="92" t="inlineStr">
        <is>
          <t>h</t>
        </is>
      </c>
      <c r="G42" s="96" t="inlineStr">
        <is>
          <t>nein</t>
        </is>
      </c>
      <c r="H42" s="67" t="n"/>
      <c r="I42" s="86" t="n"/>
      <c r="J42" s="86" t="n"/>
      <c r="K42" s="86" t="n"/>
      <c r="L42" s="86" t="n"/>
    </row>
    <row r="43" ht="14.25" customHeight="1" thickBot="1">
      <c r="A43" s="69">
        <f>A42+1</f>
        <v/>
      </c>
      <c r="B43" s="70">
        <f>IF(WEEKDAY(C43,2)=1,"Mo",IF(WEEKDAY(C43,2)=2,"Di",IF(WEEKDAY(C43,2)=3,"Mi",IF(WEEKDAY(C43,2)=4,"Do.",IF(WEEKDAY(C43,2)=5,"Fr.",IF(WEEKDAY(C43,2)=6,"Sa.","So"))))))</f>
        <v/>
      </c>
      <c r="C43" s="71">
        <f>C42+1</f>
        <v/>
      </c>
      <c r="D43" s="72" t="n"/>
      <c r="E43" s="73" t="n"/>
      <c r="F43" s="93" t="inlineStr">
        <is>
          <t>h</t>
        </is>
      </c>
      <c r="G43" s="13" t="inlineStr">
        <is>
          <t>nein</t>
        </is>
      </c>
      <c r="H43" s="74" t="n"/>
      <c r="I43" s="86" t="n"/>
      <c r="J43" s="86" t="n"/>
      <c r="K43" s="86" t="n"/>
      <c r="L43" s="86" t="n"/>
      <c r="N43" s="49" t="n"/>
      <c r="O43" s="50" t="inlineStr">
        <is>
          <t xml:space="preserve">Hier sollte der Seitenumbruch Seite 1 auf Seite 2 sein - Bitte nutzen Sie die Seitenumbruchsansicht (Reiter "Ansicht &gt; Umbruchsvorschau) </t>
        </is>
      </c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</row>
    <row r="44">
      <c r="A44" s="88" t="n"/>
      <c r="B44" s="88" t="n"/>
      <c r="C44" s="88" t="n"/>
      <c r="D44" s="88" t="n"/>
      <c r="E44" s="88" t="n"/>
      <c r="F44" s="37" t="n"/>
      <c r="G44" s="37" t="n"/>
      <c r="H44" s="88" t="n"/>
      <c r="I44" s="88" t="n"/>
      <c r="J44" s="88" t="n"/>
      <c r="K44" s="88" t="n"/>
      <c r="L44" s="88" t="n"/>
      <c r="N44" s="48" t="n"/>
      <c r="O44" s="1" t="inlineStr">
        <is>
          <t>Sie könne mit der Maus den Umbruch verschieben.</t>
        </is>
      </c>
    </row>
    <row r="45">
      <c r="A45" s="110">
        <f>Student_Name</f>
        <v/>
      </c>
      <c r="B45" s="116" t="n"/>
      <c r="C45" s="116" t="n"/>
      <c r="D45" s="116" t="n"/>
      <c r="E45" s="116" t="n"/>
      <c r="F45" s="116" t="n"/>
      <c r="G45" s="100" t="n"/>
      <c r="H45" s="110">
        <f>Ausbildungsbetrieb_Unternehmen</f>
        <v/>
      </c>
      <c r="I45" s="87" t="n"/>
      <c r="J45" s="87" t="n"/>
      <c r="K45" s="87" t="n"/>
      <c r="L45" s="87" t="n"/>
    </row>
    <row r="46" ht="7.5" customHeight="1">
      <c r="A46" s="76" t="inlineStr">
        <is>
          <t>Name</t>
        </is>
      </c>
      <c r="B46" s="76" t="n"/>
      <c r="C46" s="76" t="n"/>
      <c r="D46" s="76" t="n"/>
      <c r="E46" s="76" t="n"/>
      <c r="F46" s="28" t="n"/>
      <c r="G46" s="28" t="n"/>
      <c r="H46" s="76" t="inlineStr">
        <is>
          <t>Ausbildungsbetrieb</t>
        </is>
      </c>
      <c r="I46" s="76" t="n"/>
      <c r="J46" s="76" t="n"/>
      <c r="K46" s="76" t="n"/>
      <c r="L46" s="76" t="n"/>
    </row>
    <row r="47" ht="7.5" customHeight="1">
      <c r="A47" s="87" t="n"/>
      <c r="B47" s="87" t="n"/>
      <c r="C47" s="87" t="n"/>
      <c r="D47" s="87" t="n"/>
      <c r="E47" s="87" t="n"/>
      <c r="F47" s="100" t="n"/>
      <c r="G47" s="100" t="n"/>
      <c r="H47" s="87" t="n"/>
      <c r="I47" s="87" t="n"/>
      <c r="J47" s="87" t="n"/>
      <c r="K47" s="87" t="n"/>
      <c r="L47" s="87" t="n"/>
    </row>
    <row r="48">
      <c r="A48" s="110">
        <f>Student_Vorname</f>
        <v/>
      </c>
      <c r="B48" s="116" t="n"/>
      <c r="C48" s="116" t="n"/>
      <c r="D48" s="116" t="n"/>
      <c r="E48" s="116" t="n"/>
      <c r="F48" s="116" t="n"/>
      <c r="G48" s="100" t="n"/>
      <c r="H48" s="110">
        <f>CONCATENATE(Ausbildungsbetrieb_Vorname, " ", Ausbildungsbetrieb_Name)</f>
        <v/>
      </c>
      <c r="I48" s="87" t="n"/>
      <c r="J48" s="87" t="n"/>
      <c r="K48" s="87" t="n"/>
      <c r="L48" s="87" t="n"/>
    </row>
    <row r="49" ht="7.5" customHeight="1">
      <c r="A49" s="76" t="inlineStr">
        <is>
          <t>Vorname</t>
        </is>
      </c>
      <c r="B49" s="76" t="n"/>
      <c r="C49" s="76" t="n"/>
      <c r="D49" s="76" t="n"/>
      <c r="E49" s="76" t="n"/>
      <c r="F49" s="28" t="n"/>
      <c r="G49" s="28" t="n"/>
      <c r="H49" s="76" t="inlineStr">
        <is>
          <t>Ansprechpartner im Betrieb</t>
        </is>
      </c>
      <c r="I49" s="76" t="n"/>
      <c r="J49" s="76" t="n"/>
      <c r="K49" s="76" t="n"/>
      <c r="L49" s="76" t="n"/>
    </row>
    <row r="50" ht="7.5" customHeight="1">
      <c r="A50" s="87" t="n"/>
      <c r="B50" s="87" t="n"/>
      <c r="C50" s="87" t="n"/>
      <c r="D50" s="87" t="n"/>
      <c r="E50" s="87" t="n"/>
      <c r="F50" s="100" t="n"/>
      <c r="G50" s="100" t="n"/>
      <c r="H50" s="87" t="n"/>
      <c r="I50" s="87" t="n"/>
      <c r="J50" s="87" t="n"/>
      <c r="K50" s="87" t="n"/>
      <c r="L50" s="87" t="n"/>
    </row>
    <row r="51">
      <c r="A51" s="110">
        <f>Student_Studiengruppe</f>
        <v/>
      </c>
      <c r="B51" s="116" t="n"/>
      <c r="C51" s="116" t="n"/>
      <c r="D51" s="116" t="n"/>
      <c r="E51" s="116" t="n"/>
      <c r="F51" s="116" t="n"/>
      <c r="G51" s="100" t="n"/>
      <c r="H51" s="110">
        <f>Ausbildungsbetrieb_Email</f>
        <v/>
      </c>
      <c r="I51" s="87" t="n"/>
      <c r="J51" s="87" t="n"/>
      <c r="K51" s="87" t="n"/>
      <c r="L51" s="87" t="n"/>
    </row>
    <row r="52" ht="7.5" customHeight="1">
      <c r="A52" s="76" t="inlineStr">
        <is>
          <t>Studiengruppe</t>
        </is>
      </c>
      <c r="B52" s="76" t="n"/>
      <c r="C52" s="76" t="n"/>
      <c r="D52" s="76" t="n"/>
      <c r="E52" s="76" t="n"/>
      <c r="F52" s="28" t="n"/>
      <c r="G52" s="28" t="n"/>
      <c r="H52" s="76" t="inlineStr">
        <is>
          <t>Email Ansprechpartner</t>
        </is>
      </c>
      <c r="I52" s="76" t="n"/>
      <c r="J52" s="76" t="n"/>
      <c r="K52" s="76" t="n"/>
      <c r="L52" s="76" t="n"/>
    </row>
    <row r="53" ht="7.5" customHeight="1">
      <c r="A53" s="87" t="n"/>
      <c r="B53" s="87" t="n"/>
      <c r="C53" s="87" t="n"/>
      <c r="D53" s="87" t="n"/>
      <c r="E53" s="87" t="n"/>
      <c r="F53" s="100" t="n"/>
      <c r="G53" s="100" t="n"/>
      <c r="H53" s="87" t="n"/>
      <c r="I53" s="87" t="n"/>
      <c r="J53" s="87" t="n"/>
      <c r="K53" s="87" t="n"/>
      <c r="L53" s="87" t="n"/>
    </row>
    <row r="54">
      <c r="A54" s="110">
        <f>Student_Matrikelnummer</f>
        <v/>
      </c>
      <c r="B54" s="116" t="n"/>
      <c r="C54" s="116" t="n"/>
      <c r="D54" s="116" t="n"/>
      <c r="E54" s="116" t="n"/>
      <c r="F54" s="116" t="n"/>
      <c r="G54" s="100" t="n"/>
      <c r="H54" s="110">
        <f>Ausbildungsbetrieb_Telefon</f>
        <v/>
      </c>
      <c r="I54" s="87" t="n"/>
      <c r="J54" s="87" t="n"/>
      <c r="K54" s="87" t="n"/>
      <c r="L54" s="87" t="n"/>
    </row>
    <row r="55" ht="7.5" customHeight="1">
      <c r="A55" s="76" t="inlineStr">
        <is>
          <t>Matrikelnummer</t>
        </is>
      </c>
      <c r="B55" s="76" t="n"/>
      <c r="C55" s="76" t="n"/>
      <c r="D55" s="76" t="n"/>
      <c r="E55" s="76" t="n"/>
      <c r="F55" s="28" t="n"/>
      <c r="G55" s="28" t="n"/>
      <c r="H55" s="76" t="inlineStr">
        <is>
          <t>Telefon Ansprechpartner</t>
        </is>
      </c>
      <c r="I55" s="76" t="n"/>
      <c r="J55" s="76" t="n"/>
      <c r="K55" s="76" t="n"/>
      <c r="L55" s="76" t="n"/>
    </row>
    <row r="56" ht="7.5" customHeight="1" thickBot="1">
      <c r="A56" s="87" t="n"/>
      <c r="B56" s="87" t="n"/>
      <c r="C56" s="87" t="n"/>
      <c r="D56" s="87" t="n"/>
      <c r="E56" s="87" t="n"/>
      <c r="F56" s="100" t="n"/>
      <c r="G56" s="100" t="n"/>
      <c r="H56" s="87" t="n"/>
      <c r="I56" s="87" t="n"/>
      <c r="J56" s="87" t="n"/>
      <c r="K56" s="87" t="n"/>
      <c r="L56" s="87" t="n"/>
    </row>
    <row r="57">
      <c r="A57" s="78" t="n"/>
      <c r="B57" s="79" t="n"/>
      <c r="C57" s="79" t="n"/>
      <c r="D57" s="79" t="n"/>
      <c r="E57" s="79" t="inlineStr">
        <is>
          <t>Typ</t>
        </is>
      </c>
      <c r="F57" s="15" t="n"/>
      <c r="G57" s="15" t="n"/>
      <c r="H57" s="80" t="inlineStr">
        <is>
          <t>Vorlesung besucht?</t>
        </is>
      </c>
      <c r="I57" s="88" t="n"/>
      <c r="J57" s="88" t="n"/>
      <c r="K57" s="88" t="n"/>
      <c r="L57" s="88" t="n"/>
    </row>
    <row r="58" ht="45" customHeight="1" thickBot="1">
      <c r="A58" s="111" t="inlineStr">
        <is>
          <t>Tag</t>
        </is>
      </c>
      <c r="B58" s="117" t="n"/>
      <c r="C58" s="81" t="inlineStr">
        <is>
          <t>Datum</t>
        </is>
      </c>
      <c r="D58" s="81" t="n"/>
      <c r="E58" s="113" t="inlineStr">
        <is>
          <t>Anwesen-heitszeit im Betrieb</t>
        </is>
      </c>
      <c r="F58" s="117" t="n"/>
      <c r="G58" s="109" t="n"/>
      <c r="H58" s="82" t="inlineStr">
        <is>
          <t>genaue Angaben zu den Tätigkeiten</t>
        </is>
      </c>
      <c r="I58" s="88" t="n"/>
      <c r="J58" s="88" t="n"/>
      <c r="K58" s="88" t="n"/>
      <c r="L58" s="88" t="n"/>
    </row>
    <row r="59" ht="39" customHeight="1">
      <c r="A59" s="56">
        <f>A43+1</f>
        <v/>
      </c>
      <c r="B59" s="57">
        <f>IF(WEEKDAY(C59,2)=1,"Mo",IF(WEEKDAY(C59,2)=2,"Di",IF(WEEKDAY(C59,2)=3,"Mi",IF(WEEKDAY(C59,2)=4,"Do.",IF(WEEKDAY(C59,2)=5,"Fr.",IF(WEEKDAY(C59,2)=6,"Sa.","So"))))))</f>
        <v/>
      </c>
      <c r="C59" s="58">
        <f>C43+1</f>
        <v/>
      </c>
      <c r="D59" s="59" t="inlineStr">
        <is>
          <t>A</t>
        </is>
      </c>
      <c r="E59" s="60" t="n">
        <v>7.75</v>
      </c>
      <c r="F59" s="91" t="inlineStr">
        <is>
          <t>h</t>
        </is>
      </c>
      <c r="G59" s="8" t="inlineStr">
        <is>
          <t>nein</t>
        </is>
      </c>
      <c r="H59" s="94" t="inlineStr">
        <is>
          <t>Eigene Eingabemaske für das Anlegen neuer Artikel als UserForm erstellt und mit der Artikelliste verbunden.</t>
        </is>
      </c>
      <c r="I59" s="86" t="n"/>
      <c r="J59" s="86" t="n"/>
      <c r="K59" s="86" t="n"/>
      <c r="L59" s="86" t="n"/>
    </row>
    <row r="60" ht="26.25" customHeight="1">
      <c r="A60" s="62">
        <f>A59+1</f>
        <v/>
      </c>
      <c r="B60" s="63">
        <f>IF(WEEKDAY(C60,2)=1,"Mo",IF(WEEKDAY(C60,2)=2,"Di",IF(WEEKDAY(C60,2)=3,"Mi",IF(WEEKDAY(C60,2)=4,"Do.",IF(WEEKDAY(C60,2)=5,"Fr.",IF(WEEKDAY(C60,2)=6,"Sa.","So"))))))</f>
        <v/>
      </c>
      <c r="C60" s="64">
        <f>C59+1</f>
        <v/>
      </c>
      <c r="D60" s="65" t="inlineStr">
        <is>
          <t>A</t>
        </is>
      </c>
      <c r="E60" s="97" t="n">
        <v>8.25</v>
      </c>
      <c r="F60" s="92" t="inlineStr">
        <is>
          <t>h</t>
        </is>
      </c>
      <c r="G60" s="96" t="inlineStr">
        <is>
          <t>nein</t>
        </is>
      </c>
      <c r="H60" s="94" t="inlineStr">
        <is>
          <t>Weitere Eingabemasken für Bearbeiten und Löschen ergänzt und eine Sicherheitsabfrage vor dem Löschen eingebaut.</t>
        </is>
      </c>
      <c r="I60" s="86" t="n"/>
      <c r="J60" s="86" t="n"/>
      <c r="K60" s="86" t="n"/>
      <c r="L60" s="86" t="n"/>
    </row>
    <row r="61" ht="39" customHeight="1">
      <c r="A61" s="62">
        <f>A60+1</f>
        <v/>
      </c>
      <c r="B61" s="63">
        <f>IF(WEEKDAY(C61,2)=1,"Mo",IF(WEEKDAY(C61,2)=2,"Di",IF(WEEKDAY(C61,2)=3,"Mi",IF(WEEKDAY(C61,2)=4,"Do.",IF(WEEKDAY(C61,2)=5,"Fr.",IF(WEEKDAY(C61,2)=6,"Sa.","So"))))))</f>
        <v/>
      </c>
      <c r="C61" s="64">
        <f>C60+1</f>
        <v/>
      </c>
      <c r="D61" s="65" t="inlineStr">
        <is>
          <t>VA</t>
        </is>
      </c>
      <c r="E61" s="97" t="n">
        <v>5.25</v>
      </c>
      <c r="F61" s="2" t="inlineStr">
        <is>
          <t>h</t>
        </is>
      </c>
      <c r="G61" s="96" t="inlineStr">
        <is>
          <t>ja</t>
        </is>
      </c>
      <c r="H61" s="94" t="inlineStr">
        <is>
          <t>Filterfunktion über Bezeichnung, Profil, Maß und Materialgruppe umgesetzt und getestet.</t>
        </is>
      </c>
      <c r="I61" s="86" t="n"/>
      <c r="J61" s="86" t="n"/>
      <c r="K61" s="86" t="n"/>
      <c r="L61" s="86" t="n"/>
    </row>
    <row r="62" ht="39" customHeight="1">
      <c r="A62" s="62">
        <f>A61+1</f>
        <v/>
      </c>
      <c r="B62" s="63">
        <f>IF(WEEKDAY(C62,2)=1,"Mo",IF(WEEKDAY(C62,2)=2,"Di",IF(WEEKDAY(C62,2)=3,"Mi",IF(WEEKDAY(C62,2)=4,"Do.",IF(WEEKDAY(C62,2)=5,"Fr.",IF(WEEKDAY(C62,2)=6,"Sa.","So"))))))</f>
        <v/>
      </c>
      <c r="C62" s="64">
        <f>C61+1</f>
        <v/>
      </c>
      <c r="D62" s="65" t="inlineStr">
        <is>
          <t>A</t>
        </is>
      </c>
      <c r="E62" s="97" t="n">
        <v>9.5</v>
      </c>
      <c r="F62" s="2" t="inlineStr">
        <is>
          <t>h</t>
        </is>
      </c>
      <c r="G62" s="96" t="inlineStr">
        <is>
          <t>nein</t>
        </is>
      </c>
      <c r="H62" s="94" t="inlineStr">
        <is>
          <t>Export auf Knopfdruck umgesetzt: ausgewählte Blätter als Excel- oder PDF-Datei in einen festen Zielordner speichern.</t>
        </is>
      </c>
      <c r="I62" s="86" t="n"/>
      <c r="J62" s="86" t="n"/>
      <c r="K62" s="86" t="n"/>
      <c r="L62" s="86" t="n"/>
    </row>
    <row r="63">
      <c r="A63" s="62">
        <f>A62+1</f>
        <v/>
      </c>
      <c r="B63" s="63">
        <f>IF(WEEKDAY(C63,2)=1,"Mo",IF(WEEKDAY(C63,2)=2,"Di",IF(WEEKDAY(C63,2)=3,"Mi",IF(WEEKDAY(C63,2)=4,"Do.",IF(WEEKDAY(C63,2)=5,"Fr.",IF(WEEKDAY(C63,2)=6,"Sa.","So"))))))</f>
        <v/>
      </c>
      <c r="C63" s="64">
        <f>C62+1</f>
        <v/>
      </c>
      <c r="D63" s="65" t="inlineStr">
        <is>
          <t>F</t>
        </is>
      </c>
      <c r="E63" s="97" t="n"/>
      <c r="F63" s="2" t="inlineStr">
        <is>
          <t>h</t>
        </is>
      </c>
      <c r="G63" s="96" t="inlineStr">
        <is>
          <t>nein</t>
        </is>
      </c>
      <c r="H63" s="67" t="inlineStr">
        <is>
          <t>Karfreitag</t>
        </is>
      </c>
      <c r="I63" s="86" t="n"/>
      <c r="J63" s="86" t="n"/>
      <c r="K63" s="86" t="n"/>
      <c r="L63" s="86" t="n"/>
    </row>
    <row r="64">
      <c r="A64" s="62">
        <f>A63+1</f>
        <v/>
      </c>
      <c r="B64" s="63">
        <f>IF(WEEKDAY(C64,2)=1,"Mo",IF(WEEKDAY(C64,2)=2,"Di",IF(WEEKDAY(C64,2)=3,"Mi",IF(WEEKDAY(C64,2)=4,"Do.",IF(WEEKDAY(C64,2)=5,"Fr.",IF(WEEKDAY(C64,2)=6,"Sa.","So"))))))</f>
        <v/>
      </c>
      <c r="C64" s="64">
        <f>C63+1</f>
        <v/>
      </c>
      <c r="D64" s="65" t="n"/>
      <c r="E64" s="97" t="n"/>
      <c r="F64" s="2" t="inlineStr">
        <is>
          <t>h</t>
        </is>
      </c>
      <c r="G64" s="96" t="inlineStr">
        <is>
          <t>nein</t>
        </is>
      </c>
      <c r="H64" s="67" t="n"/>
      <c r="I64" s="86" t="n"/>
      <c r="J64" s="86" t="n"/>
      <c r="K64" s="86" t="n"/>
      <c r="L64" s="86" t="n"/>
    </row>
    <row r="65">
      <c r="A65" s="62">
        <f>A64+1</f>
        <v/>
      </c>
      <c r="B65" s="63">
        <f>IF(WEEKDAY(C65,2)=1,"Mo",IF(WEEKDAY(C65,2)=2,"Di",IF(WEEKDAY(C65,2)=3,"Mi",IF(WEEKDAY(C65,2)=4,"Do.",IF(WEEKDAY(C65,2)=5,"Fr.",IF(WEEKDAY(C65,2)=6,"Sa.","So"))))))</f>
        <v/>
      </c>
      <c r="C65" s="64">
        <f>C64+1</f>
        <v/>
      </c>
      <c r="D65" s="65" t="n"/>
      <c r="E65" s="97" t="n"/>
      <c r="F65" s="2" t="inlineStr">
        <is>
          <t>h</t>
        </is>
      </c>
      <c r="G65" s="96" t="inlineStr">
        <is>
          <t>nein</t>
        </is>
      </c>
      <c r="H65" s="67" t="n"/>
      <c r="I65" s="86" t="n"/>
      <c r="J65" s="86" t="n"/>
      <c r="K65" s="86" t="n"/>
      <c r="L65" s="86" t="n"/>
    </row>
    <row r="66" ht="39" customHeight="1">
      <c r="A66" s="62">
        <f>A65+1</f>
        <v/>
      </c>
      <c r="B66" s="63">
        <f>IF(WEEKDAY(C66,2)=1,"Mo",IF(WEEKDAY(C66,2)=2,"Di",IF(WEEKDAY(C66,2)=3,"Mi",IF(WEEKDAY(C66,2)=4,"Do.",IF(WEEKDAY(C66,2)=5,"Fr.",IF(WEEKDAY(C66,2)=6,"Sa.","So"))))))</f>
        <v/>
      </c>
      <c r="C66" s="64">
        <f>C65+1</f>
        <v/>
      </c>
      <c r="D66" s="65" t="inlineStr">
        <is>
          <t>F</t>
        </is>
      </c>
      <c r="E66" s="97" t="n"/>
      <c r="F66" s="2" t="inlineStr">
        <is>
          <t>h</t>
        </is>
      </c>
      <c r="G66" s="96" t="inlineStr">
        <is>
          <t>nein</t>
        </is>
      </c>
      <c r="H66" s="94" t="inlineStr">
        <is>
          <t>Ostermontag</t>
        </is>
      </c>
      <c r="I66" s="86" t="n"/>
      <c r="J66" s="86" t="n"/>
      <c r="K66" s="86" t="n"/>
      <c r="L66" s="86" t="n"/>
    </row>
    <row r="67" ht="39" customHeight="1">
      <c r="A67" s="62">
        <f>A66+1</f>
        <v/>
      </c>
      <c r="B67" s="63">
        <f>IF(WEEKDAY(C67,2)=1,"Mo",IF(WEEKDAY(C67,2)=2,"Di",IF(WEEKDAY(C67,2)=3,"Mi",IF(WEEKDAY(C67,2)=4,"Do.",IF(WEEKDAY(C67,2)=5,"Fr.",IF(WEEKDAY(C67,2)=6,"Sa.","So"))))))</f>
        <v/>
      </c>
      <c r="C67" s="64">
        <f>C66+1</f>
        <v/>
      </c>
      <c r="D67" s="65" t="inlineStr">
        <is>
          <t>A</t>
        </is>
      </c>
      <c r="E67" s="97" t="n">
        <v>8</v>
      </c>
      <c r="F67" s="2" t="inlineStr">
        <is>
          <t>h</t>
        </is>
      </c>
      <c r="G67" s="96" t="inlineStr">
        <is>
          <t>nein</t>
        </is>
      </c>
      <c r="H67" s="94" t="inlineStr">
        <is>
          <t>Versand der Bestandsliste per E-Mail ergänzt und mit Testdaten geprüft.</t>
        </is>
      </c>
      <c r="I67" s="86" t="n"/>
      <c r="J67" s="86" t="n"/>
      <c r="K67" s="86" t="n"/>
      <c r="L67" s="86" t="n"/>
    </row>
    <row r="68" ht="26.25" customHeight="1">
      <c r="A68" s="62">
        <f>A67+1</f>
        <v/>
      </c>
      <c r="B68" s="63">
        <f>IF(WEEKDAY(C68,2)=1,"Mo",IF(WEEKDAY(C68,2)=2,"Di",IF(WEEKDAY(C68,2)=3,"Mi",IF(WEEKDAY(C68,2)=4,"Do.",IF(WEEKDAY(C68,2)=5,"Fr.",IF(WEEKDAY(C68,2)=6,"Sa.","So"))))))</f>
        <v/>
      </c>
      <c r="C68" s="64">
        <f>C67+1</f>
        <v/>
      </c>
      <c r="D68" s="65" t="inlineStr">
        <is>
          <t>VA</t>
        </is>
      </c>
      <c r="E68" s="97" t="n">
        <v>6.25</v>
      </c>
      <c r="F68" s="2" t="inlineStr">
        <is>
          <t>h</t>
        </is>
      </c>
      <c r="G68" s="96" t="inlineStr">
        <is>
          <t>ja</t>
        </is>
      </c>
      <c r="H68" s="94" t="inlineStr">
        <is>
          <t>Einstellungsblatt angelegt, damit Zielordner, Empfängeradresse und Schwellenwerte ohne Eingriff in den Code änderbar sind.</t>
        </is>
      </c>
      <c r="I68" s="86" t="n"/>
      <c r="J68" s="86" t="n"/>
      <c r="K68" s="86" t="n"/>
      <c r="L68" s="86" t="n"/>
    </row>
    <row r="69" ht="26.25" customHeight="1">
      <c r="A69" s="62">
        <f>A68+1</f>
        <v/>
      </c>
      <c r="B69" s="63">
        <f>IF(WEEKDAY(C69,2)=1,"Mo",IF(WEEKDAY(C69,2)=2,"Di",IF(WEEKDAY(C69,2)=3,"Mi",IF(WEEKDAY(C69,2)=4,"Do.",IF(WEEKDAY(C69,2)=5,"Fr.",IF(WEEKDAY(C69,2)=6,"Sa.","So"))))))</f>
        <v/>
      </c>
      <c r="C69" s="64">
        <f>C68+1</f>
        <v/>
      </c>
      <c r="D69" s="65" t="inlineStr">
        <is>
          <t>A</t>
        </is>
      </c>
      <c r="E69" s="97" t="n">
        <v>8.75</v>
      </c>
      <c r="F69" s="2" t="inlineStr">
        <is>
          <t>h</t>
        </is>
      </c>
      <c r="G69" s="96" t="inlineStr">
        <is>
          <t>nein</t>
        </is>
      </c>
      <c r="H69" s="94" t="inlineStr">
        <is>
          <t>Tablet-Modus entwickelt: Vollbild-Oberfläche ohne Excel-Bedienelemente, damit das System direkt in der Werkstatt bedienbar ist.</t>
        </is>
      </c>
      <c r="I69" s="86" t="n"/>
      <c r="J69" s="86" t="n"/>
      <c r="K69" s="86" t="n"/>
      <c r="L69" s="86" t="n"/>
    </row>
    <row r="70">
      <c r="A70" s="62">
        <f>A69+1</f>
        <v/>
      </c>
      <c r="B70" s="63">
        <f>IF(WEEKDAY(C70,2)=1,"Mo",IF(WEEKDAY(C70,2)=2,"Di",IF(WEEKDAY(C70,2)=3,"Mi",IF(WEEKDAY(C70,2)=4,"Do.",IF(WEEKDAY(C70,2)=5,"Fr.",IF(WEEKDAY(C70,2)=6,"Sa.","So"))))))</f>
        <v/>
      </c>
      <c r="C70" s="64">
        <f>C69+1</f>
        <v/>
      </c>
      <c r="D70" s="65" t="inlineStr">
        <is>
          <t>A</t>
        </is>
      </c>
      <c r="E70" s="97" t="n">
        <v>9.25</v>
      </c>
      <c r="F70" s="2" t="inlineStr">
        <is>
          <t>h</t>
        </is>
      </c>
      <c r="G70" s="96" t="inlineStr">
        <is>
          <t>nein</t>
        </is>
      </c>
      <c r="H70" s="67" t="inlineStr">
        <is>
          <t>Entwicklermodus ergänzt, der die Excel-Oberfläche für Wartungsarbeiten wieder einblendet, und mit einem Kennwort geschützt.</t>
        </is>
      </c>
      <c r="I70" s="86" t="n"/>
      <c r="J70" s="86" t="n"/>
      <c r="K70" s="86" t="n"/>
      <c r="L70" s="86" t="n"/>
    </row>
    <row r="71">
      <c r="A71" s="62">
        <f>A70+1</f>
        <v/>
      </c>
      <c r="B71" s="63">
        <f>IF(WEEKDAY(C71,2)=1,"Mo",IF(WEEKDAY(C71,2)=2,"Di",IF(WEEKDAY(C71,2)=3,"Mi",IF(WEEKDAY(C71,2)=4,"Do.",IF(WEEKDAY(C71,2)=5,"Fr.",IF(WEEKDAY(C71,2)=6,"Sa.","So"))))))</f>
        <v/>
      </c>
      <c r="C71" s="64">
        <f>C70+1</f>
        <v/>
      </c>
      <c r="D71" s="65" t="n"/>
      <c r="E71" s="97" t="n"/>
      <c r="F71" s="2" t="inlineStr">
        <is>
          <t>h</t>
        </is>
      </c>
      <c r="G71" s="96" t="inlineStr">
        <is>
          <t>nein</t>
        </is>
      </c>
      <c r="H71" s="67" t="n"/>
      <c r="I71" s="86" t="n"/>
      <c r="J71" s="86" t="n"/>
      <c r="K71" s="86" t="n"/>
      <c r="L71" s="86" t="n"/>
    </row>
    <row r="72">
      <c r="A72" s="62">
        <f>A71+1</f>
        <v/>
      </c>
      <c r="B72" s="63">
        <f>IF(WEEKDAY(C72,2)=1,"Mo",IF(WEEKDAY(C72,2)=2,"Di",IF(WEEKDAY(C72,2)=3,"Mi",IF(WEEKDAY(C72,2)=4,"Do.",IF(WEEKDAY(C72,2)=5,"Fr.",IF(WEEKDAY(C72,2)=6,"Sa.","So"))))))</f>
        <v/>
      </c>
      <c r="C72" s="64">
        <f>C71+1</f>
        <v/>
      </c>
      <c r="D72" s="65" t="n"/>
      <c r="E72" s="97" t="n"/>
      <c r="F72" s="2" t="inlineStr">
        <is>
          <t>h</t>
        </is>
      </c>
      <c r="G72" s="96" t="inlineStr">
        <is>
          <t>nein</t>
        </is>
      </c>
      <c r="H72" s="67" t="n"/>
      <c r="I72" s="86" t="n"/>
      <c r="J72" s="86" t="n"/>
      <c r="K72" s="86" t="n"/>
      <c r="L72" s="86" t="n"/>
    </row>
    <row r="73" ht="63.75" customHeight="1">
      <c r="A73" s="62">
        <f>A72+1</f>
        <v/>
      </c>
      <c r="B73" s="63">
        <f>IF(WEEKDAY(C73,2)=1,"Mo",IF(WEEKDAY(C73,2)=2,"Di",IF(WEEKDAY(C73,2)=3,"Mi",IF(WEEKDAY(C73,2)=4,"Do.",IF(WEEKDAY(C73,2)=5,"Fr.",IF(WEEKDAY(C73,2)=6,"Sa.","So"))))))</f>
        <v/>
      </c>
      <c r="C73" s="64">
        <f>C72+1</f>
        <v/>
      </c>
      <c r="D73" s="65" t="inlineStr">
        <is>
          <t>A</t>
        </is>
      </c>
      <c r="E73" s="97" t="n">
        <v>8.08</v>
      </c>
      <c r="F73" s="2" t="inlineStr">
        <is>
          <t>h</t>
        </is>
      </c>
      <c r="G73" s="96" t="inlineStr">
        <is>
          <t>nein</t>
        </is>
      </c>
      <c r="H73" s="94" t="inlineStr">
        <is>
          <t>Makros in Modulgruppen aufgeteilt und benannt, damit die Datei wartbar bleibt und Funktionen wiederverwendet werden können.</t>
        </is>
      </c>
      <c r="I73" s="86" t="n"/>
      <c r="J73" s="86" t="n"/>
      <c r="K73" s="86" t="n"/>
      <c r="L73" s="86" t="n"/>
    </row>
    <row r="74" ht="39" customHeight="1">
      <c r="A74" s="62">
        <f>A73+1</f>
        <v/>
      </c>
      <c r="B74" s="63">
        <f>IF(WEEKDAY(C74,2)=1,"Mo",IF(WEEKDAY(C74,2)=2,"Di",IF(WEEKDAY(C74,2)=3,"Mi",IF(WEEKDAY(C74,2)=4,"Do.",IF(WEEKDAY(C74,2)=5,"Fr.",IF(WEEKDAY(C74,2)=6,"Sa.","So"))))))</f>
        <v/>
      </c>
      <c r="C74" s="64">
        <f>C73+1</f>
        <v/>
      </c>
      <c r="D74" s="65" t="inlineStr">
        <is>
          <t>A</t>
        </is>
      </c>
      <c r="E74" s="97" t="n">
        <v>8.5</v>
      </c>
      <c r="F74" s="2" t="inlineStr">
        <is>
          <t>h</t>
        </is>
      </c>
      <c r="G74" s="96" t="inlineStr">
        <is>
          <t>nein</t>
        </is>
      </c>
      <c r="H74" s="94" t="inlineStr">
        <is>
          <t>Material-Entnahme-Logik entworfen: Beim Zuschnitt soll die Restlänge selbstständig eingebucht werden.</t>
        </is>
      </c>
      <c r="I74" s="86" t="n"/>
      <c r="J74" s="86" t="n"/>
      <c r="K74" s="86" t="n"/>
      <c r="L74" s="86" t="n"/>
    </row>
    <row r="75" ht="39" customHeight="1">
      <c r="A75" s="62">
        <f>A74+1</f>
        <v/>
      </c>
      <c r="B75" s="63">
        <f>IF(WEEKDAY(C75,2)=1,"Mo",IF(WEEKDAY(C75,2)=2,"Di",IF(WEEKDAY(C75,2)=3,"Mi",IF(WEEKDAY(C75,2)=4,"Do.",IF(WEEKDAY(C75,2)=5,"Fr.",IF(WEEKDAY(C75,2)=6,"Sa.","So"))))))</f>
        <v/>
      </c>
      <c r="C75" s="64">
        <f>C74+1</f>
        <v/>
      </c>
      <c r="D75" s="65" t="inlineStr">
        <is>
          <t>VA</t>
        </is>
      </c>
      <c r="E75" s="97" t="n">
        <v>5.75</v>
      </c>
      <c r="F75" s="2" t="inlineStr">
        <is>
          <t>h</t>
        </is>
      </c>
      <c r="G75" s="96" t="inlineStr">
        <is>
          <t>ja</t>
        </is>
      </c>
      <c r="H75" s="94" t="inlineStr">
        <is>
          <t>Material-Entnahme umgesetzt: Restlängen werden automatisch angelegt oder mit vorhandenen gleich langen Resten zusammengefasst.</t>
        </is>
      </c>
      <c r="I75" s="86" t="n"/>
      <c r="J75" s="86" t="n"/>
      <c r="K75" s="86" t="n"/>
      <c r="L75" s="86" t="n"/>
    </row>
    <row r="76" ht="39" customHeight="1">
      <c r="A76" s="62">
        <f>A75+1</f>
        <v/>
      </c>
      <c r="B76" s="63">
        <f>IF(WEEKDAY(C76,2)=1,"Mo",IF(WEEKDAY(C76,2)=2,"Di",IF(WEEKDAY(C76,2)=3,"Mi",IF(WEEKDAY(C76,2)=4,"Do.",IF(WEEKDAY(C76,2)=5,"Fr.",IF(WEEKDAY(C76,2)=6,"Sa.","So"))))))</f>
        <v/>
      </c>
      <c r="C76" s="64">
        <f>C75+1</f>
        <v/>
      </c>
      <c r="D76" s="65" t="inlineStr">
        <is>
          <t>A</t>
        </is>
      </c>
      <c r="E76" s="97" t="n">
        <v>9</v>
      </c>
      <c r="F76" s="2" t="inlineStr">
        <is>
          <t>h</t>
        </is>
      </c>
      <c r="G76" s="96" t="inlineStr">
        <is>
          <t>nein</t>
        </is>
      </c>
      <c r="H76" s="94" t="inlineStr">
        <is>
          <t>Material-Entnahme mit realen Zuschnitten aus der Werkstatt getestet und zwei Fehler bei der Restberechnung behoben.</t>
        </is>
      </c>
      <c r="I76" s="86" t="n"/>
      <c r="J76" s="86" t="n"/>
      <c r="K76" s="86" t="n"/>
      <c r="L76" s="86" t="n"/>
    </row>
    <row r="77">
      <c r="A77" s="62">
        <f>A76+1</f>
        <v/>
      </c>
      <c r="B77" s="63">
        <f>IF(WEEKDAY(C77,2)=1,"Mo",IF(WEEKDAY(C77,2)=2,"Di",IF(WEEKDAY(C77,2)=3,"Mi",IF(WEEKDAY(C77,2)=4,"Do.",IF(WEEKDAY(C77,2)=5,"Fr.",IF(WEEKDAY(C77,2)=6,"Sa.","So"))))))</f>
        <v/>
      </c>
      <c r="C77" s="64">
        <f>C76+1</f>
        <v/>
      </c>
      <c r="D77" s="65" t="inlineStr">
        <is>
          <t>A</t>
        </is>
      </c>
      <c r="E77" s="97" t="n">
        <v>7.92</v>
      </c>
      <c r="F77" s="2" t="inlineStr">
        <is>
          <t>h</t>
        </is>
      </c>
      <c r="G77" s="96" t="inlineStr">
        <is>
          <t>nein</t>
        </is>
      </c>
      <c r="H77" s="67" t="inlineStr">
        <is>
          <t>System einem Mitarbeiter gezeigt, Rückmeldungen aufgenommen und die Bedienung an zwei Stellen vereinfacht.</t>
        </is>
      </c>
      <c r="I77" s="86" t="n"/>
      <c r="J77" s="86" t="n"/>
      <c r="K77" s="86" t="n"/>
      <c r="L77" s="86" t="n"/>
    </row>
    <row r="78">
      <c r="A78" s="62">
        <f>A77+1</f>
        <v/>
      </c>
      <c r="B78" s="63">
        <f>IF(WEEKDAY(C78,2)=1,"Mo",IF(WEEKDAY(C78,2)=2,"Di",IF(WEEKDAY(C78,2)=3,"Mi",IF(WEEKDAY(C78,2)=4,"Do.",IF(WEEKDAY(C78,2)=5,"Fr.",IF(WEEKDAY(C78,2)=6,"Sa.","So"))))))</f>
        <v/>
      </c>
      <c r="C78" s="64">
        <f>C77+1</f>
        <v/>
      </c>
      <c r="D78" s="65" t="n"/>
      <c r="E78" s="97" t="n"/>
      <c r="F78" s="2" t="inlineStr">
        <is>
          <t>h</t>
        </is>
      </c>
      <c r="G78" s="96" t="inlineStr">
        <is>
          <t>nein</t>
        </is>
      </c>
      <c r="H78" s="67" t="n"/>
      <c r="I78" s="86" t="n"/>
      <c r="J78" s="86" t="n"/>
      <c r="K78" s="86" t="n"/>
      <c r="L78" s="86" t="n"/>
    </row>
    <row r="79">
      <c r="A79" s="62">
        <f>A78+1</f>
        <v/>
      </c>
      <c r="B79" s="63">
        <f>IF(WEEKDAY(C79,2)=1,"Mo",IF(WEEKDAY(C79,2)=2,"Di",IF(WEEKDAY(C79,2)=3,"Mi",IF(WEEKDAY(C79,2)=4,"Do.",IF(WEEKDAY(C79,2)=5,"Fr.",IF(WEEKDAY(C79,2)=6,"Sa.","So"))))))</f>
        <v/>
      </c>
      <c r="C79" s="64">
        <f>C78+1</f>
        <v/>
      </c>
      <c r="D79" s="65" t="n"/>
      <c r="E79" s="97" t="n"/>
      <c r="F79" s="2" t="inlineStr">
        <is>
          <t>h</t>
        </is>
      </c>
      <c r="G79" s="96" t="inlineStr">
        <is>
          <t>nein</t>
        </is>
      </c>
      <c r="H79" s="67" t="n"/>
      <c r="I79" s="86" t="n"/>
      <c r="J79" s="86" t="n"/>
      <c r="K79" s="86" t="n"/>
      <c r="L79" s="86" t="n"/>
    </row>
    <row r="80">
      <c r="A80" s="62">
        <f>A79+1</f>
        <v/>
      </c>
      <c r="B80" s="63">
        <f>IF(WEEKDAY(C80,2)=1,"Mo",IF(WEEKDAY(C80,2)=2,"Di",IF(WEEKDAY(C80,2)=3,"Mi",IF(WEEKDAY(C80,2)=4,"Do.",IF(WEEKDAY(C80,2)=5,"Fr.",IF(WEEKDAY(C80,2)=6,"Sa.","So"))))))</f>
        <v/>
      </c>
      <c r="C80" s="64">
        <f>C79+1</f>
        <v/>
      </c>
      <c r="D80" s="65" t="inlineStr">
        <is>
          <t>A</t>
        </is>
      </c>
      <c r="E80" s="97" t="n">
        <v>8.25</v>
      </c>
      <c r="F80" s="2" t="inlineStr">
        <is>
          <t>h</t>
        </is>
      </c>
      <c r="G80" s="96" t="inlineStr">
        <is>
          <t>nein</t>
        </is>
      </c>
      <c r="H80" s="67" t="inlineStr">
        <is>
          <t>Kurzanleitung für die Bedienung des Lagerbestand-Systems geschrieben und an den Arbeitsplatz gelegt.</t>
        </is>
      </c>
      <c r="I80" s="86" t="n"/>
      <c r="J80" s="86" t="n"/>
      <c r="K80" s="86" t="n"/>
      <c r="L80" s="86" t="n"/>
    </row>
    <row r="81">
      <c r="A81" s="62">
        <f>A80+1</f>
        <v/>
      </c>
      <c r="B81" s="63">
        <f>IF(WEEKDAY(C81,2)=1,"Mo",IF(WEEKDAY(C81,2)=2,"Di",IF(WEEKDAY(C81,2)=3,"Mi",IF(WEEKDAY(C81,2)=4,"Do.",IF(WEEKDAY(C81,2)=5,"Fr.",IF(WEEKDAY(C81,2)=6,"Sa.","So"))))))</f>
        <v/>
      </c>
      <c r="C81" s="64">
        <f>C80+1</f>
        <v/>
      </c>
      <c r="D81" s="65" t="inlineStr">
        <is>
          <t>A</t>
        </is>
      </c>
      <c r="E81" s="97" t="n">
        <v>9.25</v>
      </c>
      <c r="F81" s="2" t="inlineStr">
        <is>
          <t>h</t>
        </is>
      </c>
      <c r="G81" s="96" t="inlineStr">
        <is>
          <t>nein</t>
        </is>
      </c>
      <c r="H81" s="67" t="inlineStr">
        <is>
          <t>Schwachstellen des Excel-Systems zusammengetragen (Bindung an einen Rechner, kein Mehrbenutzerbetrieb) und die Neuentwicklung als eigenständige Web-Anwendung mit dem Betreuer besprochen. Architektur in drei Schichten festgelegt und mit KI-Unterstützung aufgesetzt.</t>
        </is>
      </c>
      <c r="I81" s="86" t="n"/>
      <c r="J81" s="86" t="n"/>
      <c r="K81" s="86" t="n"/>
      <c r="L81" s="86" t="n"/>
    </row>
    <row r="82">
      <c r="A82" s="62">
        <f>A81+1</f>
        <v/>
      </c>
      <c r="B82" s="63">
        <f>IF(WEEKDAY(C82,2)=1,"Mo",IF(WEEKDAY(C82,2)=2,"Di",IF(WEEKDAY(C82,2)=3,"Mi",IF(WEEKDAY(C82,2)=4,"Do.",IF(WEEKDAY(C82,2)=5,"Fr.",IF(WEEKDAY(C82,2)=6,"Sa.","So"))))))</f>
        <v/>
      </c>
      <c r="C82" s="64">
        <f>C81+1</f>
        <v/>
      </c>
      <c r="D82" s="65" t="inlineStr">
        <is>
          <t>VA</t>
        </is>
      </c>
      <c r="E82" s="97" t="n">
        <v>5</v>
      </c>
      <c r="F82" s="2" t="inlineStr">
        <is>
          <t>h</t>
        </is>
      </c>
      <c r="G82" s="96" t="inlineStr">
        <is>
          <t>ja</t>
        </is>
      </c>
      <c r="H82" s="67" t="inlineStr">
        <is>
          <t>Datenmodell aus den Excel-Blättern übernommen und die Kernfunktionen portiert: Artikel verwalten, Buchungen, Verlauf und die Material-Entnahme mit Resteverwaltung. 86 reale Artikel-Datensätze und 50 Artikelgruppen übernommen und die Übernahme kontrolliert.</t>
        </is>
      </c>
      <c r="I82" s="86" t="n"/>
      <c r="J82" s="86" t="n"/>
      <c r="K82" s="86" t="n"/>
      <c r="L82" s="86" t="n"/>
    </row>
    <row r="83">
      <c r="A83" s="62">
        <f>A82+1</f>
        <v/>
      </c>
      <c r="B83" s="63">
        <f>IF(WEEKDAY(C83,2)=1,"Mo",IF(WEEKDAY(C83,2)=2,"Di",IF(WEEKDAY(C83,2)=3,"Mi",IF(WEEKDAY(C83,2)=4,"Do.",IF(WEEKDAY(C83,2)=5,"Fr.",IF(WEEKDAY(C83,2)=6,"Sa.","So"))))))</f>
        <v/>
      </c>
      <c r="C83" s="64">
        <f>C82+1</f>
        <v/>
      </c>
      <c r="D83" s="65" t="inlineStr">
        <is>
          <t>A</t>
        </is>
      </c>
      <c r="E83" s="97" t="n">
        <v>8.75</v>
      </c>
      <c r="F83" s="2" t="inlineStr">
        <is>
          <t>h</t>
        </is>
      </c>
      <c r="G83" s="96" t="inlineStr">
        <is>
          <t>nein</t>
        </is>
      </c>
      <c r="H83" s="67" t="inlineStr">
        <is>
          <t>Anwendung als Hintergrunddienst mit täglichem Backup eingerichtet und zusätzlich in der Cloud bereitgestellt. Lasttest mit 100 gleichzeitigen Schreibzugriffen durchgeführt und die Bedienung dokumentiert.</t>
        </is>
      </c>
      <c r="I83" s="86" t="n"/>
      <c r="J83" s="86" t="n"/>
      <c r="K83" s="86" t="n"/>
      <c r="L83" s="86" t="n"/>
    </row>
    <row r="84">
      <c r="A84" s="62">
        <f>A83+1</f>
        <v/>
      </c>
      <c r="B84" s="63">
        <f>IF(WEEKDAY(C84,2)=1,"Mo",IF(WEEKDAY(C84,2)=2,"Di",IF(WEEKDAY(C84,2)=3,"Mi",IF(WEEKDAY(C84,2)=4,"Do.",IF(WEEKDAY(C84,2)=5,"Fr.",IF(WEEKDAY(C84,2)=6,"Sa.","So"))))))</f>
        <v/>
      </c>
      <c r="C84" s="64">
        <f>C83+1</f>
        <v/>
      </c>
      <c r="D84" s="65" t="inlineStr">
        <is>
          <t>A</t>
        </is>
      </c>
      <c r="E84" s="97" t="n">
        <v>8.5</v>
      </c>
      <c r="F84" s="2" t="inlineStr">
        <is>
          <t>h</t>
        </is>
      </c>
      <c r="G84" s="96" t="inlineStr">
        <is>
          <t>nein</t>
        </is>
      </c>
      <c r="H84" s="67" t="inlineStr">
        <is>
          <t>Aufgabenstellung zum Schweißarbeitsplatz erhalten. Bestehenden Platz besichtigt, fotografiert und die verfügbare Fläche aufgemessen (rund 29 m²).</t>
        </is>
      </c>
      <c r="I84" s="86" t="n"/>
      <c r="J84" s="86" t="n"/>
      <c r="K84" s="86" t="n"/>
      <c r="L84" s="86" t="n"/>
    </row>
    <row r="85">
      <c r="A85" s="62">
        <f>A84+1</f>
        <v/>
      </c>
      <c r="B85" s="63">
        <f>IF(WEEKDAY(C85,2)=1,"Mo",IF(WEEKDAY(C85,2)=2,"Di",IF(WEEKDAY(C85,2)=3,"Mi",IF(WEEKDAY(C85,2)=4,"Do.",IF(WEEKDAY(C85,2)=5,"Fr.",IF(WEEKDAY(C85,2)=6,"Sa.","So"))))))</f>
        <v/>
      </c>
      <c r="C85" s="64">
        <f>C84+1</f>
        <v/>
      </c>
      <c r="D85" s="65" t="n"/>
      <c r="E85" s="97" t="n"/>
      <c r="F85" s="2" t="inlineStr">
        <is>
          <t>h</t>
        </is>
      </c>
      <c r="G85" s="96" t="inlineStr">
        <is>
          <t>nein</t>
        </is>
      </c>
      <c r="H85" s="67" t="n"/>
      <c r="I85" s="86" t="n"/>
      <c r="J85" s="86" t="n"/>
      <c r="K85" s="86" t="n"/>
      <c r="L85" s="86" t="n"/>
    </row>
    <row r="86" ht="14.25" customHeight="1" thickBot="1">
      <c r="A86" s="69">
        <f>A85+1</f>
        <v/>
      </c>
      <c r="B86" s="70">
        <f>IF(WEEKDAY(C86,2)=1,"Mo",IF(WEEKDAY(C86,2)=2,"Di",IF(WEEKDAY(C86,2)=3,"Mi",IF(WEEKDAY(C86,2)=4,"Do.",IF(WEEKDAY(C86,2)=5,"Fr.",IF(WEEKDAY(C86,2)=6,"Sa.","So"))))))</f>
        <v/>
      </c>
      <c r="C86" s="71">
        <f>C85+1</f>
        <v/>
      </c>
      <c r="D86" s="72" t="n"/>
      <c r="E86" s="73" t="n"/>
      <c r="F86" s="11" t="inlineStr">
        <is>
          <t>h</t>
        </is>
      </c>
      <c r="G86" s="13" t="inlineStr">
        <is>
          <t>nein</t>
        </is>
      </c>
      <c r="H86" s="74" t="n"/>
      <c r="I86" s="86" t="n"/>
      <c r="J86" s="86" t="n"/>
      <c r="K86" s="86" t="n"/>
      <c r="L86" s="86" t="n"/>
      <c r="N86" s="49" t="n"/>
      <c r="O86" s="50" t="inlineStr">
        <is>
          <t xml:space="preserve">Hier sollte der Seitenumbruch Seite 2 auf Seite 3 sein - Bitte nutzen Sie die Seitenumbruchsansicht (Reiter "Ansicht &gt; Umbruchsvorschau) </t>
        </is>
      </c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</row>
    <row r="87">
      <c r="A87" s="88" t="n"/>
      <c r="B87" s="88" t="n"/>
      <c r="C87" s="88" t="n"/>
      <c r="D87" s="88" t="n"/>
      <c r="E87" s="88" t="n"/>
      <c r="F87" s="37" t="n"/>
      <c r="G87" s="37" t="n"/>
      <c r="H87" s="88" t="n"/>
      <c r="I87" s="88" t="n"/>
      <c r="J87" s="88" t="n"/>
      <c r="K87" s="88" t="n"/>
      <c r="L87" s="88" t="n"/>
      <c r="N87" s="48" t="n"/>
      <c r="O87" s="1" t="inlineStr">
        <is>
          <t>Sie könne mit der Maus den Umbruch verschieben.</t>
        </is>
      </c>
    </row>
    <row r="88">
      <c r="A88" s="110">
        <f>Student_Name</f>
        <v/>
      </c>
      <c r="B88" s="116" t="n"/>
      <c r="C88" s="116" t="n"/>
      <c r="D88" s="116" t="n"/>
      <c r="E88" s="116" t="n"/>
      <c r="F88" s="116" t="n"/>
      <c r="G88" s="100" t="n"/>
      <c r="H88" s="110">
        <f>Ausbildungsbetrieb_Unternehmen</f>
        <v/>
      </c>
      <c r="I88" s="87" t="n"/>
      <c r="J88" s="87" t="n"/>
      <c r="K88" s="87" t="n"/>
      <c r="L88" s="87" t="n"/>
    </row>
    <row r="89" ht="7.5" customHeight="1">
      <c r="A89" s="76" t="inlineStr">
        <is>
          <t>Name</t>
        </is>
      </c>
      <c r="B89" s="76" t="n"/>
      <c r="C89" s="76" t="n"/>
      <c r="D89" s="76" t="n"/>
      <c r="E89" s="76" t="n"/>
      <c r="F89" s="28" t="n"/>
      <c r="G89" s="28" t="n"/>
      <c r="H89" s="76" t="inlineStr">
        <is>
          <t>Ausbildungsbetrieb</t>
        </is>
      </c>
      <c r="I89" s="76" t="n"/>
      <c r="J89" s="76" t="n"/>
      <c r="K89" s="76" t="n"/>
      <c r="L89" s="76" t="n"/>
    </row>
    <row r="90" ht="7.5" customHeight="1">
      <c r="A90" s="87" t="n"/>
      <c r="B90" s="87" t="n"/>
      <c r="C90" s="87" t="n"/>
      <c r="D90" s="87" t="n"/>
      <c r="E90" s="87" t="n"/>
      <c r="F90" s="100" t="n"/>
      <c r="G90" s="100" t="n"/>
      <c r="H90" s="87" t="n"/>
      <c r="I90" s="87" t="n"/>
      <c r="J90" s="87" t="n"/>
      <c r="K90" s="87" t="n"/>
      <c r="L90" s="87" t="n"/>
    </row>
    <row r="91">
      <c r="A91" s="110">
        <f>Student_Vorname</f>
        <v/>
      </c>
      <c r="B91" s="116" t="n"/>
      <c r="C91" s="116" t="n"/>
      <c r="D91" s="116" t="n"/>
      <c r="E91" s="116" t="n"/>
      <c r="F91" s="116" t="n"/>
      <c r="G91" s="100" t="n"/>
      <c r="H91" s="110">
        <f>CONCATENATE(Ausbildungsbetrieb_Vorname, " ", Ausbildungsbetrieb_Name)</f>
        <v/>
      </c>
      <c r="I91" s="87" t="n"/>
      <c r="J91" s="87" t="n"/>
      <c r="K91" s="87" t="n"/>
      <c r="L91" s="87" t="n"/>
    </row>
    <row r="92" ht="7.5" customHeight="1">
      <c r="A92" s="76" t="inlineStr">
        <is>
          <t>Vorname</t>
        </is>
      </c>
      <c r="B92" s="76" t="n"/>
      <c r="C92" s="76" t="n"/>
      <c r="D92" s="76" t="n"/>
      <c r="E92" s="76" t="n"/>
      <c r="F92" s="28" t="n"/>
      <c r="G92" s="28" t="n"/>
      <c r="H92" s="76" t="inlineStr">
        <is>
          <t>Ansprechpartner im Betrieb</t>
        </is>
      </c>
      <c r="I92" s="76" t="n"/>
      <c r="J92" s="76" t="n"/>
      <c r="K92" s="76" t="n"/>
      <c r="L92" s="76" t="n"/>
    </row>
    <row r="93" ht="7.5" customHeight="1">
      <c r="A93" s="87" t="n"/>
      <c r="B93" s="87" t="n"/>
      <c r="C93" s="87" t="n"/>
      <c r="D93" s="87" t="n"/>
      <c r="E93" s="87" t="n"/>
      <c r="F93" s="100" t="n"/>
      <c r="G93" s="100" t="n"/>
      <c r="H93" s="87" t="n"/>
      <c r="I93" s="87" t="n"/>
      <c r="J93" s="87" t="n"/>
      <c r="K93" s="87" t="n"/>
      <c r="L93" s="87" t="n"/>
    </row>
    <row r="94">
      <c r="A94" s="110">
        <f>Student_Studiengruppe</f>
        <v/>
      </c>
      <c r="B94" s="116" t="n"/>
      <c r="C94" s="116" t="n"/>
      <c r="D94" s="116" t="n"/>
      <c r="E94" s="116" t="n"/>
      <c r="F94" s="116" t="n"/>
      <c r="G94" s="100" t="n"/>
      <c r="H94" s="110">
        <f>Ausbildungsbetrieb_Email</f>
        <v/>
      </c>
      <c r="I94" s="87" t="n"/>
      <c r="J94" s="87" t="n"/>
      <c r="K94" s="87" t="n"/>
      <c r="L94" s="87" t="n"/>
    </row>
    <row r="95" ht="7.5" customHeight="1">
      <c r="A95" s="76" t="inlineStr">
        <is>
          <t>Studiengruppe</t>
        </is>
      </c>
      <c r="B95" s="76" t="n"/>
      <c r="C95" s="76" t="n"/>
      <c r="D95" s="76" t="n"/>
      <c r="E95" s="76" t="n"/>
      <c r="F95" s="28" t="n"/>
      <c r="G95" s="28" t="n"/>
      <c r="H95" s="76" t="inlineStr">
        <is>
          <t>Email Ansprechpartner</t>
        </is>
      </c>
      <c r="I95" s="76" t="n"/>
      <c r="J95" s="76" t="n"/>
      <c r="K95" s="76" t="n"/>
      <c r="L95" s="76" t="n"/>
    </row>
    <row r="96" ht="7.5" customHeight="1">
      <c r="A96" s="87" t="n"/>
      <c r="B96" s="87" t="n"/>
      <c r="C96" s="87" t="n"/>
      <c r="D96" s="87" t="n"/>
      <c r="E96" s="87" t="n"/>
      <c r="F96" s="100" t="n"/>
      <c r="G96" s="100" t="n"/>
      <c r="H96" s="87" t="n"/>
      <c r="I96" s="87" t="n"/>
      <c r="J96" s="87" t="n"/>
      <c r="K96" s="87" t="n"/>
      <c r="L96" s="87" t="n"/>
    </row>
    <row r="97">
      <c r="A97" s="110">
        <f>Student_Matrikelnummer</f>
        <v/>
      </c>
      <c r="B97" s="116" t="n"/>
      <c r="C97" s="116" t="n"/>
      <c r="D97" s="116" t="n"/>
      <c r="E97" s="116" t="n"/>
      <c r="F97" s="116" t="n"/>
      <c r="G97" s="100" t="n"/>
      <c r="H97" s="110">
        <f>Ausbildungsbetrieb_Telefon</f>
        <v/>
      </c>
      <c r="I97" s="87" t="n"/>
      <c r="J97" s="87" t="n"/>
      <c r="K97" s="87" t="n"/>
      <c r="L97" s="87" t="n"/>
    </row>
    <row r="98" ht="7.5" customHeight="1">
      <c r="A98" s="76" t="inlineStr">
        <is>
          <t>Matrikelnummer</t>
        </is>
      </c>
      <c r="B98" s="76" t="n"/>
      <c r="C98" s="76" t="n"/>
      <c r="D98" s="76" t="n"/>
      <c r="E98" s="76" t="n"/>
      <c r="F98" s="28" t="n"/>
      <c r="G98" s="28" t="n"/>
      <c r="H98" s="76" t="inlineStr">
        <is>
          <t>Telefon Ansprechpartner</t>
        </is>
      </c>
      <c r="I98" s="76" t="n"/>
      <c r="J98" s="76" t="n"/>
      <c r="K98" s="76" t="n"/>
      <c r="L98" s="76" t="n"/>
    </row>
    <row r="99" ht="7.5" customHeight="1" thickBot="1">
      <c r="A99" s="87" t="n"/>
      <c r="B99" s="87" t="n"/>
      <c r="C99" s="87" t="n"/>
      <c r="D99" s="87" t="n"/>
      <c r="E99" s="87" t="n"/>
      <c r="F99" s="100" t="n"/>
      <c r="G99" s="100" t="n"/>
      <c r="H99" s="87" t="n"/>
      <c r="I99" s="87" t="n"/>
      <c r="J99" s="87" t="n"/>
      <c r="K99" s="87" t="n"/>
      <c r="L99" s="87" t="n"/>
    </row>
    <row r="100">
      <c r="A100" s="78" t="n"/>
      <c r="B100" s="79" t="n"/>
      <c r="C100" s="79" t="n"/>
      <c r="D100" s="79" t="n"/>
      <c r="E100" s="79" t="inlineStr">
        <is>
          <t>Typ</t>
        </is>
      </c>
      <c r="F100" s="15" t="n"/>
      <c r="G100" s="15" t="n"/>
      <c r="H100" s="80" t="inlineStr">
        <is>
          <t>Vorlesung besucht?</t>
        </is>
      </c>
      <c r="I100" s="88" t="n"/>
      <c r="J100" s="88" t="n"/>
      <c r="K100" s="88" t="n"/>
      <c r="L100" s="88" t="n"/>
    </row>
    <row r="101" ht="45" customHeight="1" thickBot="1">
      <c r="A101" s="111" t="inlineStr">
        <is>
          <t>Tag</t>
        </is>
      </c>
      <c r="B101" s="117" t="n"/>
      <c r="C101" s="81" t="inlineStr">
        <is>
          <t>Datum</t>
        </is>
      </c>
      <c r="D101" s="81" t="n"/>
      <c r="E101" s="113" t="inlineStr">
        <is>
          <t>Anwesen-heitszeit im Betrieb</t>
        </is>
      </c>
      <c r="F101" s="117" t="n"/>
      <c r="G101" s="109" t="n"/>
      <c r="H101" s="82" t="inlineStr">
        <is>
          <t>genaue Angaben zu den Tätigkeiten</t>
        </is>
      </c>
      <c r="I101" s="88" t="n"/>
      <c r="J101" s="88" t="n"/>
      <c r="K101" s="88" t="n"/>
      <c r="L101" s="88" t="n"/>
    </row>
    <row r="102">
      <c r="A102" s="56">
        <f>A86+1</f>
        <v/>
      </c>
      <c r="B102" s="57">
        <f>IF(WEEKDAY(C102,2)=1,"Mo",IF(WEEKDAY(C102,2)=2,"Di",IF(WEEKDAY(C102,2)=3,"Mi",IF(WEEKDAY(C102,2)=4,"Do.",IF(WEEKDAY(C102,2)=5,"Fr.",IF(WEEKDAY(C102,2)=6,"Sa.","So"))))))</f>
        <v/>
      </c>
      <c r="C102" s="58">
        <f>C86+1</f>
        <v/>
      </c>
      <c r="D102" s="59" t="inlineStr">
        <is>
          <t>A</t>
        </is>
      </c>
      <c r="E102" s="60" t="n">
        <v>9</v>
      </c>
      <c r="F102" s="6" t="inlineStr">
        <is>
          <t>h</t>
        </is>
      </c>
      <c r="G102" s="8" t="inlineStr">
        <is>
          <t>nein</t>
        </is>
      </c>
      <c r="H102" s="61" t="inlineStr">
        <is>
          <t>Verwendete Schweißverfahren mit dem Betreuer besprochen (MAG/MIG und E-Hand) und die Unterschiede für die spätere Ausstattung festgehalten.</t>
        </is>
      </c>
      <c r="I102" s="86" t="n"/>
      <c r="J102" s="86" t="n"/>
      <c r="K102" s="86" t="n"/>
      <c r="L102" s="86" t="n"/>
    </row>
    <row r="103">
      <c r="A103" s="62">
        <f>A102+1</f>
        <v/>
      </c>
      <c r="B103" s="63">
        <f>IF(WEEKDAY(C103,2)=1,"Mo",IF(WEEKDAY(C103,2)=2,"Di",IF(WEEKDAY(C103,2)=3,"Mi",IF(WEEKDAY(C103,2)=4,"Do.",IF(WEEKDAY(C103,2)=5,"Fr.",IF(WEEKDAY(C103,2)=6,"Sa.","So"))))))</f>
        <v/>
      </c>
      <c r="C103" s="64">
        <f>C102+1</f>
        <v/>
      </c>
      <c r="D103" s="65" t="inlineStr">
        <is>
          <t>A</t>
        </is>
      </c>
      <c r="E103" s="97" t="n">
        <v>8.25</v>
      </c>
      <c r="F103" s="2" t="inlineStr">
        <is>
          <t>h</t>
        </is>
      </c>
      <c r="G103" s="96" t="inlineStr">
        <is>
          <t>nein</t>
        </is>
      </c>
      <c r="H103" s="67" t="inlineStr">
        <is>
          <t>Aufnahme der vorhandenen Werkzeuge am Schweißplatz begonnen und nach Verwendungszweck gruppiert.</t>
        </is>
      </c>
      <c r="I103" s="86" t="n"/>
      <c r="J103" s="86" t="n"/>
      <c r="K103" s="86" t="n"/>
      <c r="L103" s="86" t="n"/>
    </row>
    <row r="104">
      <c r="A104" s="62">
        <f>A103+1</f>
        <v/>
      </c>
      <c r="B104" s="63">
        <f>IF(WEEKDAY(C104,2)=1,"Mo",IF(WEEKDAY(C104,2)=2,"Di",IF(WEEKDAY(C104,2)=3,"Mi",IF(WEEKDAY(C104,2)=4,"Do.",IF(WEEKDAY(C104,2)=5,"Fr.",IF(WEEKDAY(C104,2)=6,"Sa.","So"))))))</f>
        <v/>
      </c>
      <c r="C104" s="64">
        <f>C103+1</f>
        <v/>
      </c>
      <c r="D104" s="65" t="inlineStr">
        <is>
          <t>VA</t>
        </is>
      </c>
      <c r="E104" s="97" t="n">
        <v>6.5</v>
      </c>
      <c r="F104" s="2" t="inlineStr">
        <is>
          <t>h</t>
        </is>
      </c>
      <c r="G104" s="96" t="inlineStr">
        <is>
          <t>ja</t>
        </is>
      </c>
      <c r="H104" s="67" t="inlineStr">
        <is>
          <t>Werkzeugaufnahme fortgesetzt: Kategorien Schweißen MAG/MIG und Schweißen E-Hand vollständig erfasst.</t>
        </is>
      </c>
      <c r="I104" s="86" t="n"/>
      <c r="J104" s="86" t="n"/>
      <c r="K104" s="86" t="n"/>
      <c r="L104" s="86" t="n"/>
    </row>
    <row r="105">
      <c r="A105" s="62">
        <f>A104+1</f>
        <v/>
      </c>
      <c r="B105" s="63">
        <f>IF(WEEKDAY(C105,2)=1,"Mo",IF(WEEKDAY(C105,2)=2,"Di",IF(WEEKDAY(C105,2)=3,"Mi",IF(WEEKDAY(C105,2)=4,"Do.",IF(WEEKDAY(C105,2)=5,"Fr.",IF(WEEKDAY(C105,2)=6,"Sa.","So"))))))</f>
        <v/>
      </c>
      <c r="C105" s="64">
        <f>C104+1</f>
        <v/>
      </c>
      <c r="D105" s="65" t="inlineStr">
        <is>
          <t>A</t>
        </is>
      </c>
      <c r="E105" s="97" t="n">
        <v>9.25</v>
      </c>
      <c r="F105" s="2" t="inlineStr">
        <is>
          <t>h</t>
        </is>
      </c>
      <c r="G105" s="96" t="inlineStr">
        <is>
          <t>nein</t>
        </is>
      </c>
      <c r="H105" s="67" t="inlineStr">
        <is>
          <t>Kategorien Spannen und Fixieren sowie Nachbearbeitung erfasst und mit den Mitarbeitern auf Vollständigkeit geprüft.</t>
        </is>
      </c>
      <c r="I105" s="86" t="n"/>
      <c r="J105" s="86" t="n"/>
      <c r="K105" s="86" t="n"/>
      <c r="L105" s="86" t="n"/>
    </row>
    <row r="106">
      <c r="A106" s="62">
        <f>A105+1</f>
        <v/>
      </c>
      <c r="B106" s="63">
        <f>IF(WEEKDAY(C106,2)=1,"Mo",IF(WEEKDAY(C106,2)=2,"Di",IF(WEEKDAY(C106,2)=3,"Mi",IF(WEEKDAY(C106,2)=4,"Do.",IF(WEEKDAY(C106,2)=5,"Fr.",IF(WEEKDAY(C106,2)=6,"Sa.","So"))))))</f>
        <v/>
      </c>
      <c r="C106" s="64">
        <f>C105+1</f>
        <v/>
      </c>
      <c r="D106" s="65" t="inlineStr">
        <is>
          <t>F</t>
        </is>
      </c>
      <c r="E106" s="97" t="n"/>
      <c r="F106" s="2" t="inlineStr">
        <is>
          <t>h</t>
        </is>
      </c>
      <c r="G106" s="96" t="inlineStr">
        <is>
          <t>nein</t>
        </is>
      </c>
      <c r="H106" s="67" t="inlineStr">
        <is>
          <t>Tag der Arbeit</t>
        </is>
      </c>
      <c r="I106" s="86" t="n"/>
      <c r="J106" s="86" t="n"/>
      <c r="K106" s="86" t="n"/>
      <c r="L106" s="86" t="n"/>
    </row>
    <row r="107">
      <c r="A107" s="62">
        <f>A106+1</f>
        <v/>
      </c>
      <c r="B107" s="63">
        <f>IF(WEEKDAY(C107,2)=1,"Mo",IF(WEEKDAY(C107,2)=2,"Di",IF(WEEKDAY(C107,2)=3,"Mi",IF(WEEKDAY(C107,2)=4,"Do.",IF(WEEKDAY(C107,2)=5,"Fr.",IF(WEEKDAY(C107,2)=6,"Sa.","So"))))))</f>
        <v/>
      </c>
      <c r="C107" s="64">
        <f>C106+1</f>
        <v/>
      </c>
      <c r="D107" s="65" t="n"/>
      <c r="E107" s="97" t="n"/>
      <c r="F107" s="2" t="inlineStr">
        <is>
          <t>h</t>
        </is>
      </c>
      <c r="G107" s="96" t="inlineStr">
        <is>
          <t>nein</t>
        </is>
      </c>
      <c r="H107" s="67" t="n"/>
      <c r="I107" s="86" t="n"/>
      <c r="J107" s="86" t="n"/>
      <c r="K107" s="86" t="n"/>
      <c r="L107" s="86" t="n"/>
    </row>
    <row r="108">
      <c r="A108" s="62">
        <f>A107+1</f>
        <v/>
      </c>
      <c r="B108" s="63">
        <f>IF(WEEKDAY(C108,2)=1,"Mo",IF(WEEKDAY(C108,2)=2,"Di",IF(WEEKDAY(C108,2)=3,"Mi",IF(WEEKDAY(C108,2)=4,"Do.",IF(WEEKDAY(C108,2)=5,"Fr.",IF(WEEKDAY(C108,2)=6,"Sa.","So"))))))</f>
        <v/>
      </c>
      <c r="C108" s="64">
        <f>C107+1</f>
        <v/>
      </c>
      <c r="D108" s="65" t="n"/>
      <c r="E108" s="97" t="n"/>
      <c r="F108" s="2" t="inlineStr">
        <is>
          <t>h</t>
        </is>
      </c>
      <c r="G108" s="96" t="inlineStr">
        <is>
          <t>nein</t>
        </is>
      </c>
      <c r="H108" s="67" t="n"/>
      <c r="I108" s="86" t="n"/>
      <c r="J108" s="86" t="n"/>
      <c r="K108" s="86" t="n"/>
      <c r="L108" s="86" t="n"/>
    </row>
    <row r="109" ht="39" customHeight="1">
      <c r="A109" s="62">
        <f>A108+1</f>
        <v/>
      </c>
      <c r="B109" s="63">
        <f>IF(WEEKDAY(C109,2)=1,"Mo",IF(WEEKDAY(C109,2)=2,"Di",IF(WEEKDAY(C109,2)=3,"Mi",IF(WEEKDAY(C109,2)=4,"Do.",IF(WEEKDAY(C109,2)=5,"Fr.",IF(WEEKDAY(C109,2)=6,"Sa.","So"))))))</f>
        <v/>
      </c>
      <c r="C109" s="64">
        <f>C108+1</f>
        <v/>
      </c>
      <c r="D109" s="65" t="inlineStr">
        <is>
          <t>A</t>
        </is>
      </c>
      <c r="E109" s="97" t="n">
        <v>7.75</v>
      </c>
      <c r="F109" s="2" t="inlineStr">
        <is>
          <t>h</t>
        </is>
      </c>
      <c r="G109" s="96" t="inlineStr">
        <is>
          <t>nein</t>
        </is>
      </c>
      <c r="H109" s="94" t="inlineStr">
        <is>
          <t>Kategorien Anreißen und Messen sowie persönliche Schutzausrüstung für drei Personen zusammengestellt.</t>
        </is>
      </c>
      <c r="I109" s="86" t="n"/>
      <c r="J109" s="86" t="n"/>
      <c r="K109" s="86" t="n"/>
      <c r="L109" s="86" t="n"/>
    </row>
    <row r="110" ht="39" customHeight="1">
      <c r="A110" s="62">
        <f>A109+1</f>
        <v/>
      </c>
      <c r="B110" s="63">
        <f>IF(WEEKDAY(C110,2)=1,"Mo",IF(WEEKDAY(C110,2)=2,"Di",IF(WEEKDAY(C110,2)=3,"Mi",IF(WEEKDAY(C110,2)=4,"Do.",IF(WEEKDAY(C110,2)=5,"Fr.",IF(WEEKDAY(C110,2)=6,"Sa.","So"))))))</f>
        <v/>
      </c>
      <c r="C110" s="64">
        <f>C109+1</f>
        <v/>
      </c>
      <c r="D110" s="65" t="inlineStr">
        <is>
          <t>A</t>
        </is>
      </c>
      <c r="E110" s="97" t="n">
        <v>8.75</v>
      </c>
      <c r="F110" s="2" t="inlineStr">
        <is>
          <t>h</t>
        </is>
      </c>
      <c r="G110" s="96" t="inlineStr">
        <is>
          <t>nein</t>
        </is>
      </c>
      <c r="H110" s="94" t="inlineStr">
        <is>
          <t>Kategorien Sicherheit und Umgebung, Verbrauchsmaterial sowie 5S-Möbel ergänzt. Damit sind alle neun Werkzeugkategorien A bis I erfasst.</t>
        </is>
      </c>
      <c r="I110" s="86" t="n"/>
      <c r="J110" s="86" t="n"/>
      <c r="K110" s="86" t="n"/>
      <c r="L110" s="86" t="n"/>
    </row>
    <row r="111" ht="51" customHeight="1">
      <c r="A111" s="62">
        <f>A110+1</f>
        <v/>
      </c>
      <c r="B111" s="63">
        <f>IF(WEEKDAY(C111,2)=1,"Mo",IF(WEEKDAY(C111,2)=2,"Di",IF(WEEKDAY(C111,2)=3,"Mi",IF(WEEKDAY(C111,2)=4,"Do.",IF(WEEKDAY(C111,2)=5,"Fr.",IF(WEEKDAY(C111,2)=6,"Sa.","So"))))))</f>
        <v/>
      </c>
      <c r="C111" s="64">
        <f>C110+1</f>
        <v/>
      </c>
      <c r="D111" s="65" t="inlineStr">
        <is>
          <t>VA</t>
        </is>
      </c>
      <c r="E111" s="97" t="n">
        <v>5.83</v>
      </c>
      <c r="F111" s="2" t="inlineStr">
        <is>
          <t>h</t>
        </is>
      </c>
      <c r="G111" s="96" t="inlineStr">
        <is>
          <t>ja</t>
        </is>
      </c>
      <c r="H111" s="94" t="inlineStr">
        <is>
          <t>Marktrecherche zu den Werkzeugen begonnen und Richtpreise je Position gesammelt.</t>
        </is>
      </c>
      <c r="I111" s="86" t="n"/>
      <c r="J111" s="86" t="n"/>
      <c r="K111" s="86" t="n"/>
      <c r="L111" s="86" t="n"/>
    </row>
    <row r="112" ht="63.75" customHeight="1">
      <c r="A112" s="62">
        <f>A111+1</f>
        <v/>
      </c>
      <c r="B112" s="63">
        <f>IF(WEEKDAY(C112,2)=1,"Mo",IF(WEEKDAY(C112,2)=2,"Di",IF(WEEKDAY(C112,2)=3,"Mi",IF(WEEKDAY(C112,2)=4,"Do.",IF(WEEKDAY(C112,2)=5,"Fr.",IF(WEEKDAY(C112,2)=6,"Sa.","So"))))))</f>
        <v/>
      </c>
      <c r="C112" s="64">
        <f>C111+1</f>
        <v/>
      </c>
      <c r="D112" s="65" t="inlineStr">
        <is>
          <t>A</t>
        </is>
      </c>
      <c r="E112" s="97" t="n">
        <v>9.5</v>
      </c>
      <c r="F112" s="2" t="inlineStr">
        <is>
          <t>h</t>
        </is>
      </c>
      <c r="G112" s="96" t="inlineStr">
        <is>
          <t>nein</t>
        </is>
      </c>
      <c r="H112" s="94" t="inlineStr">
        <is>
          <t>Marktrecherche abgeschlossen und je Kaufteil drei Preisstufen gegenübergestellt.</t>
        </is>
      </c>
      <c r="I112" s="86" t="n"/>
      <c r="J112" s="86" t="n"/>
      <c r="K112" s="86" t="n"/>
      <c r="L112" s="86" t="n"/>
    </row>
    <row r="113">
      <c r="A113" s="62">
        <f>A112+1</f>
        <v/>
      </c>
      <c r="B113" s="63">
        <f>IF(WEEKDAY(C113,2)=1,"Mo",IF(WEEKDAY(C113,2)=2,"Di",IF(WEEKDAY(C113,2)=3,"Mi",IF(WEEKDAY(C113,2)=4,"Do.",IF(WEEKDAY(C113,2)=5,"Fr.",IF(WEEKDAY(C113,2)=6,"Sa.","So"))))))</f>
        <v/>
      </c>
      <c r="C113" s="64">
        <f>C112+1</f>
        <v/>
      </c>
      <c r="D113" s="65" t="inlineStr">
        <is>
          <t>A</t>
        </is>
      </c>
      <c r="E113" s="97" t="n">
        <v>8</v>
      </c>
      <c r="F113" s="2" t="inlineStr">
        <is>
          <t>h</t>
        </is>
      </c>
      <c r="G113" s="96" t="inlineStr">
        <is>
          <t>nein</t>
        </is>
      </c>
      <c r="H113" s="67" t="inlineStr">
        <is>
          <t>Ergonomische Grundmaße für den Arbeitsplatz zusammengetragen (Arbeitshöhe, Greifräume, Beleuchtung) und mit den Normvorgaben abgeglichen.</t>
        </is>
      </c>
      <c r="I113" s="86" t="n"/>
      <c r="J113" s="86" t="n"/>
      <c r="K113" s="86" t="n"/>
      <c r="L113" s="86" t="n"/>
    </row>
    <row r="114">
      <c r="A114" s="62">
        <f>A113+1</f>
        <v/>
      </c>
      <c r="B114" s="63">
        <f>IF(WEEKDAY(C114,2)=1,"Mo",IF(WEEKDAY(C114,2)=2,"Di",IF(WEEKDAY(C114,2)=3,"Mi",IF(WEEKDAY(C114,2)=4,"Do.",IF(WEEKDAY(C114,2)=5,"Fr.",IF(WEEKDAY(C114,2)=6,"Sa.","So"))))))</f>
        <v/>
      </c>
      <c r="C114" s="64">
        <f>C113+1</f>
        <v/>
      </c>
      <c r="D114" s="65" t="n"/>
      <c r="E114" s="97" t="n"/>
      <c r="F114" s="2" t="inlineStr">
        <is>
          <t>h</t>
        </is>
      </c>
      <c r="G114" s="96" t="inlineStr">
        <is>
          <t>nein</t>
        </is>
      </c>
      <c r="H114" s="67" t="n"/>
      <c r="I114" s="86" t="n"/>
      <c r="J114" s="86" t="n"/>
      <c r="K114" s="86" t="n"/>
      <c r="L114" s="86" t="n"/>
    </row>
    <row r="115">
      <c r="A115" s="62">
        <f>A114+1</f>
        <v/>
      </c>
      <c r="B115" s="63">
        <f>IF(WEEKDAY(C115,2)=1,"Mo",IF(WEEKDAY(C115,2)=2,"Di",IF(WEEKDAY(C115,2)=3,"Mi",IF(WEEKDAY(C115,2)=4,"Do.",IF(WEEKDAY(C115,2)=5,"Fr.",IF(WEEKDAY(C115,2)=6,"Sa.","So"))))))</f>
        <v/>
      </c>
      <c r="C115" s="64">
        <f>C114+1</f>
        <v/>
      </c>
      <c r="D115" s="65" t="n"/>
      <c r="E115" s="97" t="n"/>
      <c r="F115" s="2" t="inlineStr">
        <is>
          <t>h</t>
        </is>
      </c>
      <c r="G115" s="96" t="inlineStr">
        <is>
          <t>nein</t>
        </is>
      </c>
      <c r="H115" s="67" t="n"/>
      <c r="I115" s="86" t="n"/>
      <c r="J115" s="86" t="n"/>
      <c r="K115" s="86" t="n"/>
      <c r="L115" s="86" t="n"/>
    </row>
    <row r="116" ht="39" customHeight="1">
      <c r="A116" s="62">
        <f>A115+1</f>
        <v/>
      </c>
      <c r="B116" s="63">
        <f>IF(WEEKDAY(C116,2)=1,"Mo",IF(WEEKDAY(C116,2)=2,"Di",IF(WEEKDAY(C116,2)=3,"Mi",IF(WEEKDAY(C116,2)=4,"Do.",IF(WEEKDAY(C116,2)=5,"Fr.",IF(WEEKDAY(C116,2)=6,"Sa.","So"))))))</f>
        <v/>
      </c>
      <c r="C116" s="64">
        <f>C115+1</f>
        <v/>
      </c>
      <c r="D116" s="65" t="inlineStr">
        <is>
          <t>A</t>
        </is>
      </c>
      <c r="E116" s="97" t="n">
        <v>8.58</v>
      </c>
      <c r="F116" s="2" t="inlineStr">
        <is>
          <t>h</t>
        </is>
      </c>
      <c r="G116" s="96" t="inlineStr">
        <is>
          <t>nein</t>
        </is>
      </c>
      <c r="H116" s="94" t="inlineStr">
        <is>
          <t>Erstes Layout-Konzept für den Platz gezeichnet und die Wege zwischen Tisch, Maschine und Materialablage geprüft.</t>
        </is>
      </c>
      <c r="I116" s="86" t="n"/>
      <c r="J116" s="86" t="n"/>
      <c r="K116" s="86" t="n"/>
      <c r="L116" s="86" t="n"/>
    </row>
    <row r="117" ht="26.25" customHeight="1">
      <c r="A117" s="62">
        <f>A116+1</f>
        <v/>
      </c>
      <c r="B117" s="63">
        <f>IF(WEEKDAY(C117,2)=1,"Mo",IF(WEEKDAY(C117,2)=2,"Di",IF(WEEKDAY(C117,2)=3,"Mi",IF(WEEKDAY(C117,2)=4,"Do.",IF(WEEKDAY(C117,2)=5,"Fr.",IF(WEEKDAY(C117,2)=6,"Sa.","So"))))))</f>
        <v/>
      </c>
      <c r="C117" s="64">
        <f>C116+1</f>
        <v/>
      </c>
      <c r="D117" s="65" t="inlineStr">
        <is>
          <t>A</t>
        </is>
      </c>
      <c r="E117" s="97" t="n">
        <v>9</v>
      </c>
      <c r="F117" s="2" t="inlineStr">
        <is>
          <t>h</t>
        </is>
      </c>
      <c r="G117" s="96" t="inlineStr">
        <is>
          <t>nein</t>
        </is>
      </c>
      <c r="H117" s="94" t="inlineStr">
        <is>
          <t>Zwei weitere Layout-Varianten entwickelt und die drei Konzepte nebeneinandergestellt.</t>
        </is>
      </c>
      <c r="I117" s="86" t="n"/>
      <c r="J117" s="86" t="n"/>
      <c r="K117" s="86" t="n"/>
      <c r="L117" s="86" t="n"/>
    </row>
    <row r="118" ht="76.5" customHeight="1">
      <c r="A118" s="62">
        <f>A117+1</f>
        <v/>
      </c>
      <c r="B118" s="63">
        <f>IF(WEEKDAY(C118,2)=1,"Mo",IF(WEEKDAY(C118,2)=2,"Di",IF(WEEKDAY(C118,2)=3,"Mi",IF(WEEKDAY(C118,2)=4,"Do.",IF(WEEKDAY(C118,2)=5,"Fr.",IF(WEEKDAY(C118,2)=6,"Sa.","So"))))))</f>
        <v/>
      </c>
      <c r="C118" s="64">
        <f>C117+1</f>
        <v/>
      </c>
      <c r="D118" s="65" t="inlineStr">
        <is>
          <t>VA</t>
        </is>
      </c>
      <c r="E118" s="97" t="n">
        <v>6</v>
      </c>
      <c r="F118" s="2" t="inlineStr">
        <is>
          <t>h</t>
        </is>
      </c>
      <c r="G118" s="96" t="inlineStr">
        <is>
          <t>ja</t>
        </is>
      </c>
      <c r="H118" s="94" t="inlineStr">
        <is>
          <t>Nutzwertanalyse für die Werkbank-Ausführung aufgestellt: Kriterien festgelegt und gewichtet.</t>
        </is>
      </c>
      <c r="I118" s="86" t="n"/>
      <c r="J118" s="86" t="n"/>
      <c r="K118" s="86" t="n"/>
      <c r="L118" s="86" t="n"/>
    </row>
    <row r="119" ht="39" customHeight="1">
      <c r="A119" s="62">
        <f>A118+1</f>
        <v/>
      </c>
      <c r="B119" s="63">
        <f>IF(WEEKDAY(C119,2)=1,"Mo",IF(WEEKDAY(C119,2)=2,"Di",IF(WEEKDAY(C119,2)=3,"Mi",IF(WEEKDAY(C119,2)=4,"Do.",IF(WEEKDAY(C119,2)=5,"Fr.",IF(WEEKDAY(C119,2)=6,"Sa.","So"))))))</f>
        <v/>
      </c>
      <c r="C119" s="64">
        <f>C118+1</f>
        <v/>
      </c>
      <c r="D119" s="65" t="inlineStr">
        <is>
          <t>F</t>
        </is>
      </c>
      <c r="E119" s="97" t="n"/>
      <c r="F119" s="2" t="inlineStr">
        <is>
          <t>h</t>
        </is>
      </c>
      <c r="G119" s="96" t="inlineStr">
        <is>
          <t>nein</t>
        </is>
      </c>
      <c r="H119" s="94" t="inlineStr">
        <is>
          <t>Christi Himmelfahrt</t>
        </is>
      </c>
      <c r="I119" s="86" t="n"/>
      <c r="J119" s="86" t="n"/>
      <c r="K119" s="86" t="n"/>
      <c r="L119" s="86" t="n"/>
    </row>
    <row r="120" ht="51" customHeight="1">
      <c r="A120" s="62">
        <f>A119+1</f>
        <v/>
      </c>
      <c r="B120" s="63">
        <f>IF(WEEKDAY(C120,2)=1,"Mo",IF(WEEKDAY(C120,2)=2,"Di",IF(WEEKDAY(C120,2)=3,"Mi",IF(WEEKDAY(C120,2)=4,"Do.",IF(WEEKDAY(C120,2)=5,"Fr.",IF(WEEKDAY(C120,2)=6,"Sa.","So"))))))</f>
        <v/>
      </c>
      <c r="C120" s="64">
        <f>C119+1</f>
        <v/>
      </c>
      <c r="D120" s="65" t="inlineStr">
        <is>
          <t>A</t>
        </is>
      </c>
      <c r="E120" s="97" t="n">
        <v>8.25</v>
      </c>
      <c r="F120" s="2" t="inlineStr">
        <is>
          <t>h</t>
        </is>
      </c>
      <c r="G120" s="96" t="inlineStr">
        <is>
          <t>nein</t>
        </is>
      </c>
      <c r="H120" s="94" t="inlineStr">
        <is>
          <t>Nutzwertanalyse für das Layout-Konzept gerechnet und die Ergebnisse ausgewertet.</t>
        </is>
      </c>
      <c r="I120" s="86" t="n"/>
      <c r="J120" s="86" t="n"/>
      <c r="K120" s="86" t="n"/>
      <c r="L120" s="86" t="n"/>
    </row>
    <row r="121">
      <c r="A121" s="62">
        <f>A120+1</f>
        <v/>
      </c>
      <c r="B121" s="63">
        <f>IF(WEEKDAY(C121,2)=1,"Mo",IF(WEEKDAY(C121,2)=2,"Di",IF(WEEKDAY(C121,2)=3,"Mi",IF(WEEKDAY(C121,2)=4,"Do.",IF(WEEKDAY(C121,2)=5,"Fr.",IF(WEEKDAY(C121,2)=6,"Sa.","So"))))))</f>
        <v/>
      </c>
      <c r="C121" s="64">
        <f>C120+1</f>
        <v/>
      </c>
      <c r="D121" s="65" t="n"/>
      <c r="E121" s="97" t="n"/>
      <c r="F121" s="2" t="inlineStr">
        <is>
          <t>h</t>
        </is>
      </c>
      <c r="G121" s="96" t="inlineStr">
        <is>
          <t>nein</t>
        </is>
      </c>
      <c r="H121" s="67" t="n"/>
      <c r="I121" s="86" t="n"/>
      <c r="J121" s="86" t="n"/>
      <c r="K121" s="86" t="n"/>
      <c r="L121" s="86" t="n"/>
    </row>
    <row r="122">
      <c r="A122" s="62">
        <f>A121+1</f>
        <v/>
      </c>
      <c r="B122" s="63">
        <f>IF(WEEKDAY(C122,2)=1,"Mo",IF(WEEKDAY(C122,2)=2,"Di",IF(WEEKDAY(C122,2)=3,"Mi",IF(WEEKDAY(C122,2)=4,"Do.",IF(WEEKDAY(C122,2)=5,"Fr.",IF(WEEKDAY(C122,2)=6,"Sa.","So"))))))</f>
        <v/>
      </c>
      <c r="C122" s="64">
        <f>C121+1</f>
        <v/>
      </c>
      <c r="D122" s="65" t="n"/>
      <c r="E122" s="97" t="n"/>
      <c r="F122" s="2" t="inlineStr">
        <is>
          <t>h</t>
        </is>
      </c>
      <c r="G122" s="96" t="inlineStr">
        <is>
          <t>nein</t>
        </is>
      </c>
      <c r="H122" s="67" t="n"/>
      <c r="I122" s="86" t="n"/>
      <c r="J122" s="86" t="n"/>
      <c r="K122" s="86" t="n"/>
      <c r="L122" s="86" t="n"/>
    </row>
    <row r="123" ht="51" customHeight="1">
      <c r="A123" s="62">
        <f>A122+1</f>
        <v/>
      </c>
      <c r="B123" s="63">
        <f>IF(WEEKDAY(C123,2)=1,"Mo",IF(WEEKDAY(C123,2)=2,"Di",IF(WEEKDAY(C123,2)=3,"Mi",IF(WEEKDAY(C123,2)=4,"Do.",IF(WEEKDAY(C123,2)=5,"Fr.",IF(WEEKDAY(C123,2)=6,"Sa.","So"))))))</f>
        <v/>
      </c>
      <c r="C123" s="64">
        <f>C122+1</f>
        <v/>
      </c>
      <c r="D123" s="65" t="inlineStr">
        <is>
          <t>A</t>
        </is>
      </c>
      <c r="E123" s="97" t="n">
        <v>7.5</v>
      </c>
      <c r="F123" s="2" t="inlineStr">
        <is>
          <t>h</t>
        </is>
      </c>
      <c r="G123" s="96" t="inlineStr">
        <is>
          <t>nein</t>
        </is>
      </c>
      <c r="H123" s="94" t="inlineStr">
        <is>
          <t>Kostenschätzung je Variante erstellt und der Nutzwertanalyse gegenübergestellt.</t>
        </is>
      </c>
      <c r="I123" s="86" t="n"/>
      <c r="J123" s="86" t="n"/>
      <c r="K123" s="86" t="n"/>
      <c r="L123" s="86" t="n"/>
    </row>
    <row r="124">
      <c r="A124" s="62">
        <f>A123+1</f>
        <v/>
      </c>
      <c r="B124" s="63">
        <f>IF(WEEKDAY(C124,2)=1,"Mo",IF(WEEKDAY(C124,2)=2,"Di",IF(WEEKDAY(C124,2)=3,"Mi",IF(WEEKDAY(C124,2)=4,"Do.",IF(WEEKDAY(C124,2)=5,"Fr.",IF(WEEKDAY(C124,2)=6,"Sa.","So"))))))</f>
        <v/>
      </c>
      <c r="C124" s="64">
        <f>C123+1</f>
        <v/>
      </c>
      <c r="D124" s="65" t="inlineStr">
        <is>
          <t>A</t>
        </is>
      </c>
      <c r="E124" s="97" t="n">
        <v>8.75</v>
      </c>
      <c r="F124" s="2" t="inlineStr">
        <is>
          <t>h</t>
        </is>
      </c>
      <c r="G124" s="96" t="inlineStr">
        <is>
          <t>nein</t>
        </is>
      </c>
      <c r="H124" s="67" t="inlineStr">
        <is>
          <t>Aufgabenstellung zum neuen Schweißtisch erhalten. Anforderungen mit dem Betreuer gesammelt: Größe, Spannmöglichkeiten, Fahrbarkeit.</t>
        </is>
      </c>
      <c r="I124" s="86" t="n"/>
      <c r="J124" s="86" t="n"/>
      <c r="K124" s="86" t="n"/>
      <c r="L124" s="86" t="n"/>
    </row>
    <row r="125">
      <c r="A125" s="62">
        <f>A124+1</f>
        <v/>
      </c>
      <c r="B125" s="63">
        <f>IF(WEEKDAY(C125,2)=1,"Mo",IF(WEEKDAY(C125,2)=2,"Di",IF(WEEKDAY(C125,2)=3,"Mi",IF(WEEKDAY(C125,2)=4,"Do.",IF(WEEKDAY(C125,2)=5,"Fr.",IF(WEEKDAY(C125,2)=6,"Sa.","So"))))))</f>
        <v/>
      </c>
      <c r="C125" s="64">
        <f>C124+1</f>
        <v/>
      </c>
      <c r="D125" s="65" t="inlineStr">
        <is>
          <t>VA</t>
        </is>
      </c>
      <c r="E125" s="97" t="n">
        <v>5.5</v>
      </c>
      <c r="F125" s="2" t="inlineStr">
        <is>
          <t>h</t>
        </is>
      </c>
      <c r="G125" s="96" t="inlineStr">
        <is>
          <t>ja</t>
        </is>
      </c>
      <c r="H125" s="67" t="inlineStr">
        <is>
          <t>Vorhandenen Tisch vermessen und die Schwachstellen im Betrieb aufgenommen.</t>
        </is>
      </c>
      <c r="I125" s="86" t="n"/>
      <c r="J125" s="86" t="n"/>
      <c r="K125" s="86" t="n"/>
      <c r="L125" s="86" t="n"/>
    </row>
    <row r="126">
      <c r="A126" s="62">
        <f>A125+1</f>
        <v/>
      </c>
      <c r="B126" s="63">
        <f>IF(WEEKDAY(C126,2)=1,"Mo",IF(WEEKDAY(C126,2)=2,"Di",IF(WEEKDAY(C126,2)=3,"Mi",IF(WEEKDAY(C126,2)=4,"Do.",IF(WEEKDAY(C126,2)=5,"Fr.",IF(WEEKDAY(C126,2)=6,"Sa.","So"))))))</f>
        <v/>
      </c>
      <c r="C126" s="64">
        <f>C125+1</f>
        <v/>
      </c>
      <c r="D126" s="65" t="inlineStr">
        <is>
          <t>A</t>
        </is>
      </c>
      <c r="E126" s="97" t="n">
        <v>9.25</v>
      </c>
      <c r="F126" s="2" t="inlineStr">
        <is>
          <t>h</t>
        </is>
      </c>
      <c r="G126" s="96" t="inlineStr">
        <is>
          <t>nein</t>
        </is>
      </c>
      <c r="H126" s="67" t="inlineStr">
        <is>
          <t>Recherche zu Schweißtisch-Konzepten und Spannsystemen durchgeführt, Beispiele gesammelt und bewertet.</t>
        </is>
      </c>
      <c r="I126" s="86" t="n"/>
      <c r="J126" s="86" t="n"/>
      <c r="K126" s="86" t="n"/>
      <c r="L126" s="86" t="n"/>
    </row>
    <row r="127">
      <c r="A127" s="62">
        <f>A126+1</f>
        <v/>
      </c>
      <c r="B127" s="63">
        <f>IF(WEEKDAY(C127,2)=1,"Mo",IF(WEEKDAY(C127,2)=2,"Di",IF(WEEKDAY(C127,2)=3,"Mi",IF(WEEKDAY(C127,2)=4,"Do.",IF(WEEKDAY(C127,2)=5,"Fr.",IF(WEEKDAY(C127,2)=6,"Sa.","So"))))))</f>
        <v/>
      </c>
      <c r="C127" s="64">
        <f>C126+1</f>
        <v/>
      </c>
      <c r="D127" s="65" t="inlineStr">
        <is>
          <t>A</t>
        </is>
      </c>
      <c r="E127" s="97" t="n">
        <v>8.5</v>
      </c>
      <c r="F127" s="2" t="inlineStr">
        <is>
          <t>h</t>
        </is>
      </c>
      <c r="G127" s="96" t="inlineStr">
        <is>
          <t>nein</t>
        </is>
      </c>
      <c r="H127" s="67" t="inlineStr">
        <is>
          <t>Erste Handskizzen für den neuen Tisch angefertigt und mit dem Betreuer besprochen.</t>
        </is>
      </c>
      <c r="I127" s="86" t="n"/>
      <c r="J127" s="86" t="n"/>
      <c r="K127" s="86" t="n"/>
      <c r="L127" s="86" t="n"/>
    </row>
    <row r="128">
      <c r="A128" s="62">
        <f>A127+1</f>
        <v/>
      </c>
      <c r="B128" s="63">
        <f>IF(WEEKDAY(C128,2)=1,"Mo",IF(WEEKDAY(C128,2)=2,"Di",IF(WEEKDAY(C128,2)=3,"Mi",IF(WEEKDAY(C128,2)=4,"Do.",IF(WEEKDAY(C128,2)=5,"Fr.",IF(WEEKDAY(C128,2)=6,"Sa.","So"))))))</f>
        <v/>
      </c>
      <c r="C128" s="64">
        <f>C127+1</f>
        <v/>
      </c>
      <c r="D128" s="65" t="n"/>
      <c r="E128" s="97" t="n"/>
      <c r="F128" s="2" t="inlineStr">
        <is>
          <t>h</t>
        </is>
      </c>
      <c r="G128" s="96" t="inlineStr">
        <is>
          <t>nein</t>
        </is>
      </c>
      <c r="H128" s="67" t="n"/>
      <c r="I128" s="86" t="n"/>
      <c r="J128" s="86" t="n"/>
      <c r="K128" s="86" t="n"/>
      <c r="L128" s="86" t="n"/>
    </row>
    <row r="129" ht="14.25" customHeight="1" thickBot="1">
      <c r="A129" s="69">
        <f>A128+1</f>
        <v/>
      </c>
      <c r="B129" s="70">
        <f>IF(WEEKDAY(C129,2)=1,"Mo",IF(WEEKDAY(C129,2)=2,"Di",IF(WEEKDAY(C129,2)=3,"Mi",IF(WEEKDAY(C129,2)=4,"Do.",IF(WEEKDAY(C129,2)=5,"Fr.",IF(WEEKDAY(C129,2)=6,"Sa.","So"))))))</f>
        <v/>
      </c>
      <c r="C129" s="71">
        <f>C128+1</f>
        <v/>
      </c>
      <c r="D129" s="72" t="n"/>
      <c r="E129" s="73" t="n"/>
      <c r="F129" s="11" t="inlineStr">
        <is>
          <t>h</t>
        </is>
      </c>
      <c r="G129" s="13" t="inlineStr">
        <is>
          <t>nein</t>
        </is>
      </c>
      <c r="H129" s="74" t="n"/>
      <c r="I129" s="86" t="n"/>
      <c r="J129" s="86" t="n"/>
      <c r="K129" s="86" t="n"/>
      <c r="L129" s="86" t="n"/>
      <c r="N129" s="49" t="n"/>
      <c r="O129" s="50" t="inlineStr">
        <is>
          <t xml:space="preserve">Hier sollte der Seitenumbruch Seite 3 auf Seite 4 sein - Bitte nutzen Sie die Seitenumbruchsansicht (Reiter "Ansicht &gt; Umbruchsvorschau) </t>
        </is>
      </c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</row>
    <row r="130">
      <c r="A130" s="88" t="n"/>
      <c r="B130" s="88" t="n"/>
      <c r="C130" s="88" t="n"/>
      <c r="D130" s="88" t="n"/>
      <c r="E130" s="88" t="n"/>
      <c r="F130" s="37" t="n"/>
      <c r="G130" s="37" t="n"/>
      <c r="H130" s="88" t="n"/>
      <c r="I130" s="88" t="n"/>
      <c r="J130" s="88" t="n"/>
      <c r="K130" s="88" t="n"/>
      <c r="L130" s="88" t="n"/>
      <c r="N130" s="48" t="n"/>
      <c r="O130" s="1" t="inlineStr">
        <is>
          <t>Sie könne mit der Maus den Umbruch verschieben.</t>
        </is>
      </c>
    </row>
    <row r="131">
      <c r="A131" s="110">
        <f>Student_Name</f>
        <v/>
      </c>
      <c r="B131" s="116" t="n"/>
      <c r="C131" s="116" t="n"/>
      <c r="D131" s="116" t="n"/>
      <c r="E131" s="116" t="n"/>
      <c r="F131" s="116" t="n"/>
      <c r="G131" s="100" t="n"/>
      <c r="H131" s="110">
        <f>Ausbildungsbetrieb_Unternehmen</f>
        <v/>
      </c>
      <c r="I131" s="87" t="n"/>
      <c r="J131" s="87" t="n"/>
      <c r="K131" s="87" t="n"/>
      <c r="L131" s="87" t="n"/>
    </row>
    <row r="132" ht="7.5" customHeight="1">
      <c r="A132" s="76" t="inlineStr">
        <is>
          <t>Name</t>
        </is>
      </c>
      <c r="B132" s="76" t="n"/>
      <c r="C132" s="76" t="n"/>
      <c r="D132" s="76" t="n"/>
      <c r="E132" s="76" t="n"/>
      <c r="F132" s="28" t="n"/>
      <c r="G132" s="28" t="n"/>
      <c r="H132" s="76" t="inlineStr">
        <is>
          <t>Ausbildungsbetrieb</t>
        </is>
      </c>
      <c r="I132" s="76" t="n"/>
      <c r="J132" s="76" t="n"/>
      <c r="K132" s="76" t="n"/>
      <c r="L132" s="76" t="n"/>
    </row>
    <row r="133" ht="7.5" customHeight="1">
      <c r="A133" s="87" t="n"/>
      <c r="B133" s="87" t="n"/>
      <c r="C133" s="87" t="n"/>
      <c r="D133" s="87" t="n"/>
      <c r="E133" s="87" t="n"/>
      <c r="F133" s="100" t="n"/>
      <c r="G133" s="100" t="n"/>
      <c r="H133" s="87" t="n"/>
      <c r="I133" s="87" t="n"/>
      <c r="J133" s="87" t="n"/>
      <c r="K133" s="87" t="n"/>
      <c r="L133" s="87" t="n"/>
    </row>
    <row r="134">
      <c r="A134" s="110">
        <f>Student_Vorname</f>
        <v/>
      </c>
      <c r="B134" s="116" t="n"/>
      <c r="C134" s="116" t="n"/>
      <c r="D134" s="116" t="n"/>
      <c r="E134" s="116" t="n"/>
      <c r="F134" s="116" t="n"/>
      <c r="G134" s="100" t="n"/>
      <c r="H134" s="110">
        <f>CONCATENATE(Ausbildungsbetrieb_Vorname, " ", Ausbildungsbetrieb_Name)</f>
        <v/>
      </c>
      <c r="I134" s="87" t="n"/>
      <c r="J134" s="87" t="n"/>
      <c r="K134" s="87" t="n"/>
      <c r="L134" s="87" t="n"/>
    </row>
    <row r="135" ht="7.5" customHeight="1">
      <c r="A135" s="76" t="inlineStr">
        <is>
          <t>Vorname</t>
        </is>
      </c>
      <c r="B135" s="76" t="n"/>
      <c r="C135" s="76" t="n"/>
      <c r="D135" s="76" t="n"/>
      <c r="E135" s="76" t="n"/>
      <c r="F135" s="28" t="n"/>
      <c r="G135" s="28" t="n"/>
      <c r="H135" s="76" t="inlineStr">
        <is>
          <t>Ansprechpartner im Betrieb</t>
        </is>
      </c>
      <c r="I135" s="76" t="n"/>
      <c r="J135" s="76" t="n"/>
      <c r="K135" s="76" t="n"/>
      <c r="L135" s="76" t="n"/>
    </row>
    <row r="136" ht="7.5" customHeight="1">
      <c r="A136" s="87" t="n"/>
      <c r="B136" s="87" t="n"/>
      <c r="C136" s="87" t="n"/>
      <c r="D136" s="87" t="n"/>
      <c r="E136" s="87" t="n"/>
      <c r="F136" s="100" t="n"/>
      <c r="G136" s="100" t="n"/>
      <c r="H136" s="87" t="n"/>
      <c r="I136" s="87" t="n"/>
      <c r="J136" s="87" t="n"/>
      <c r="K136" s="87" t="n"/>
      <c r="L136" s="87" t="n"/>
    </row>
    <row r="137">
      <c r="A137" s="110">
        <f>Student_Studiengruppe</f>
        <v/>
      </c>
      <c r="B137" s="116" t="n"/>
      <c r="C137" s="116" t="n"/>
      <c r="D137" s="116" t="n"/>
      <c r="E137" s="116" t="n"/>
      <c r="F137" s="116" t="n"/>
      <c r="G137" s="100" t="n"/>
      <c r="H137" s="110">
        <f>Ausbildungsbetrieb_Email</f>
        <v/>
      </c>
      <c r="I137" s="87" t="n"/>
      <c r="J137" s="87" t="n"/>
      <c r="K137" s="87" t="n"/>
      <c r="L137" s="87" t="n"/>
    </row>
    <row r="138" ht="7.5" customHeight="1">
      <c r="A138" s="76" t="inlineStr">
        <is>
          <t>Studiengruppe</t>
        </is>
      </c>
      <c r="B138" s="76" t="n"/>
      <c r="C138" s="76" t="n"/>
      <c r="D138" s="76" t="n"/>
      <c r="E138" s="76" t="n"/>
      <c r="F138" s="28" t="n"/>
      <c r="G138" s="28" t="n"/>
      <c r="H138" s="76" t="inlineStr">
        <is>
          <t>Email Ansprechpartner</t>
        </is>
      </c>
      <c r="I138" s="76" t="n"/>
      <c r="J138" s="76" t="n"/>
      <c r="K138" s="76" t="n"/>
      <c r="L138" s="76" t="n"/>
    </row>
    <row r="139" ht="7.5" customHeight="1">
      <c r="A139" s="87" t="n"/>
      <c r="B139" s="87" t="n"/>
      <c r="C139" s="87" t="n"/>
      <c r="D139" s="87" t="n"/>
      <c r="E139" s="87" t="n"/>
      <c r="F139" s="100" t="n"/>
      <c r="G139" s="100" t="n"/>
      <c r="H139" s="87" t="n"/>
      <c r="I139" s="87" t="n"/>
      <c r="J139" s="87" t="n"/>
      <c r="K139" s="87" t="n"/>
      <c r="L139" s="87" t="n"/>
    </row>
    <row r="140">
      <c r="A140" s="110">
        <f>Student_Matrikelnummer</f>
        <v/>
      </c>
      <c r="B140" s="116" t="n"/>
      <c r="C140" s="116" t="n"/>
      <c r="D140" s="116" t="n"/>
      <c r="E140" s="116" t="n"/>
      <c r="F140" s="116" t="n"/>
      <c r="G140" s="100" t="n"/>
      <c r="H140" s="110">
        <f>Ausbildungsbetrieb_Telefon</f>
        <v/>
      </c>
      <c r="I140" s="87" t="n"/>
      <c r="J140" s="87" t="n"/>
      <c r="K140" s="87" t="n"/>
      <c r="L140" s="87" t="n"/>
    </row>
    <row r="141" ht="7.5" customHeight="1">
      <c r="A141" s="76" t="inlineStr">
        <is>
          <t>Matrikelnummer</t>
        </is>
      </c>
      <c r="B141" s="76" t="n"/>
      <c r="C141" s="76" t="n"/>
      <c r="D141" s="76" t="n"/>
      <c r="E141" s="76" t="n"/>
      <c r="F141" s="28" t="n"/>
      <c r="G141" s="28" t="n"/>
      <c r="H141" s="76" t="inlineStr">
        <is>
          <t>Telefon Ansprechpartner</t>
        </is>
      </c>
      <c r="I141" s="76" t="n"/>
      <c r="J141" s="76" t="n"/>
      <c r="K141" s="76" t="n"/>
      <c r="L141" s="76" t="n"/>
    </row>
    <row r="142" ht="7.5" customHeight="1" thickBot="1">
      <c r="A142" s="87" t="n"/>
      <c r="B142" s="87" t="n"/>
      <c r="C142" s="87" t="n"/>
      <c r="D142" s="87" t="n"/>
      <c r="E142" s="87" t="n"/>
      <c r="F142" s="100" t="n"/>
      <c r="G142" s="100" t="n"/>
      <c r="H142" s="87" t="n"/>
      <c r="I142" s="87" t="n"/>
      <c r="J142" s="87" t="n"/>
      <c r="K142" s="87" t="n"/>
      <c r="L142" s="87" t="n"/>
    </row>
    <row r="143">
      <c r="A143" s="78" t="n"/>
      <c r="B143" s="79" t="n"/>
      <c r="C143" s="79" t="n"/>
      <c r="D143" s="79" t="n"/>
      <c r="E143" s="79" t="inlineStr">
        <is>
          <t>Typ</t>
        </is>
      </c>
      <c r="F143" s="15" t="n"/>
      <c r="G143" s="15" t="n"/>
      <c r="H143" s="80" t="inlineStr">
        <is>
          <t>Vorlesung besucht?</t>
        </is>
      </c>
      <c r="I143" s="88" t="n"/>
      <c r="J143" s="88" t="n"/>
      <c r="K143" s="88" t="n"/>
      <c r="L143" s="88" t="n"/>
    </row>
    <row r="144" ht="45" customHeight="1" thickBot="1">
      <c r="A144" s="111" t="inlineStr">
        <is>
          <t>Tag</t>
        </is>
      </c>
      <c r="B144" s="117" t="n"/>
      <c r="C144" s="81" t="inlineStr">
        <is>
          <t>Datum</t>
        </is>
      </c>
      <c r="D144" s="81" t="n"/>
      <c r="E144" s="113" t="inlineStr">
        <is>
          <t>Anwesen-heitszeit im Betrieb</t>
        </is>
      </c>
      <c r="F144" s="117" t="n"/>
      <c r="G144" s="109" t="n"/>
      <c r="H144" s="82" t="inlineStr">
        <is>
          <t>genaue Angaben zu den Tätigkeiten</t>
        </is>
      </c>
      <c r="I144" s="88" t="n"/>
      <c r="J144" s="88" t="n"/>
      <c r="K144" s="88" t="n"/>
      <c r="L144" s="88" t="n"/>
    </row>
    <row r="145" ht="39" customHeight="1">
      <c r="A145" s="56">
        <f>A129+1</f>
        <v/>
      </c>
      <c r="B145" s="57">
        <f>IF(WEEKDAY(C145,2)=1,"Mo",IF(WEEKDAY(C145,2)=2,"Di",IF(WEEKDAY(C145,2)=3,"Mi",IF(WEEKDAY(C145,2)=4,"Do.",IF(WEEKDAY(C145,2)=5,"Fr.",IF(WEEKDAY(C145,2)=6,"Sa.","So"))))))</f>
        <v/>
      </c>
      <c r="C145" s="58">
        <f>C129+1</f>
        <v/>
      </c>
      <c r="D145" s="59" t="inlineStr">
        <is>
          <t>F</t>
        </is>
      </c>
      <c r="E145" s="60" t="n"/>
      <c r="F145" s="6" t="inlineStr">
        <is>
          <t>h</t>
        </is>
      </c>
      <c r="G145" s="8" t="inlineStr">
        <is>
          <t>nein</t>
        </is>
      </c>
      <c r="H145" s="94" t="inlineStr">
        <is>
          <t>Pfingstmontag</t>
        </is>
      </c>
      <c r="I145" s="86" t="n"/>
      <c r="J145" s="86" t="n"/>
      <c r="K145" s="86" t="n"/>
      <c r="L145" s="86" t="n"/>
    </row>
    <row r="146" ht="63.75" customHeight="1">
      <c r="A146" s="62">
        <f>A145+1</f>
        <v/>
      </c>
      <c r="B146" s="63">
        <f>IF(WEEKDAY(C146,2)=1,"Mo",IF(WEEKDAY(C146,2)=2,"Di",IF(WEEKDAY(C146,2)=3,"Mi",IF(WEEKDAY(C146,2)=4,"Do.",IF(WEEKDAY(C146,2)=5,"Fr.",IF(WEEKDAY(C146,2)=6,"Sa.","So"))))))</f>
        <v/>
      </c>
      <c r="C146" s="64">
        <f>C145+1</f>
        <v/>
      </c>
      <c r="D146" s="65" t="inlineStr">
        <is>
          <t>A</t>
        </is>
      </c>
      <c r="E146" s="97" t="n">
        <v>8.92</v>
      </c>
      <c r="F146" s="2" t="inlineStr">
        <is>
          <t>h</t>
        </is>
      </c>
      <c r="G146" s="96" t="inlineStr">
        <is>
          <t>nein</t>
        </is>
      </c>
      <c r="H146" s="94" t="inlineStr">
        <is>
          <t>Grundkonzept festgelegt: ausziehbarer Tisch mit Lochplatten-Spannsystem auf fahrbarem Untergestell.</t>
        </is>
      </c>
      <c r="I146" s="86" t="n"/>
      <c r="J146" s="86" t="n"/>
      <c r="K146" s="86" t="n"/>
      <c r="L146" s="86" t="n"/>
    </row>
    <row r="147" ht="63.75" customHeight="1">
      <c r="A147" s="62">
        <f>A146+1</f>
        <v/>
      </c>
      <c r="B147" s="63">
        <f>IF(WEEKDAY(C147,2)=1,"Mo",IF(WEEKDAY(C147,2)=2,"Di",IF(WEEKDAY(C147,2)=3,"Mi",IF(WEEKDAY(C147,2)=4,"Do.",IF(WEEKDAY(C147,2)=5,"Fr.",IF(WEEKDAY(C147,2)=6,"Sa.","So"))))))</f>
        <v/>
      </c>
      <c r="C147" s="64">
        <f>C146+1</f>
        <v/>
      </c>
      <c r="D147" s="65" t="inlineStr">
        <is>
          <t>VA</t>
        </is>
      </c>
      <c r="E147" s="97" t="n">
        <v>6.25</v>
      </c>
      <c r="F147" s="2" t="inlineStr">
        <is>
          <t>h</t>
        </is>
      </c>
      <c r="G147" s="96" t="inlineStr">
        <is>
          <t>ja</t>
        </is>
      </c>
      <c r="H147" s="94" t="inlineStr">
        <is>
          <t>Marktrecherche zu Lochplatten durchgeführt, Angebote verglichen und das D16-Raster ausgewählt.</t>
        </is>
      </c>
      <c r="I147" s="86" t="n"/>
      <c r="J147" s="86" t="n"/>
      <c r="K147" s="86" t="n"/>
      <c r="L147" s="86" t="n"/>
    </row>
    <row r="148" ht="39" customHeight="1">
      <c r="A148" s="62">
        <f>A147+1</f>
        <v/>
      </c>
      <c r="B148" s="63">
        <f>IF(WEEKDAY(C148,2)=1,"Mo",IF(WEEKDAY(C148,2)=2,"Di",IF(WEEKDAY(C148,2)=3,"Mi",IF(WEEKDAY(C148,2)=4,"Do.",IF(WEEKDAY(C148,2)=5,"Fr.",IF(WEEKDAY(C148,2)=6,"Sa.","So"))))))</f>
        <v/>
      </c>
      <c r="C148" s="64">
        <f>C147+1</f>
        <v/>
      </c>
      <c r="D148" s="65" t="inlineStr">
        <is>
          <t>A</t>
        </is>
      </c>
      <c r="E148" s="97" t="n">
        <v>9</v>
      </c>
      <c r="F148" s="2" t="inlineStr">
        <is>
          <t>h</t>
        </is>
      </c>
      <c r="G148" s="96" t="inlineStr">
        <is>
          <t>nein</t>
        </is>
      </c>
      <c r="H148" s="94" t="inlineStr">
        <is>
          <t>Mit der CAD-Konstruktion begonnen: Tischplatte mit Lochraster aufgebaut.</t>
        </is>
      </c>
      <c r="I148" s="86" t="n"/>
      <c r="J148" s="86" t="n"/>
      <c r="K148" s="86" t="n"/>
      <c r="L148" s="86" t="n"/>
    </row>
    <row r="149" ht="26.25" customHeight="1">
      <c r="A149" s="62">
        <f>A148+1</f>
        <v/>
      </c>
      <c r="B149" s="63">
        <f>IF(WEEKDAY(C149,2)=1,"Mo",IF(WEEKDAY(C149,2)=2,"Di",IF(WEEKDAY(C149,2)=3,"Mi",IF(WEEKDAY(C149,2)=4,"Do.",IF(WEEKDAY(C149,2)=5,"Fr.",IF(WEEKDAY(C149,2)=6,"Sa.","So"))))))</f>
        <v/>
      </c>
      <c r="C149" s="64">
        <f>C148+1</f>
        <v/>
      </c>
      <c r="D149" s="65" t="inlineStr">
        <is>
          <t>A</t>
        </is>
      </c>
      <c r="E149" s="97" t="n">
        <v>7.75</v>
      </c>
      <c r="F149" s="2" t="inlineStr">
        <is>
          <t>h</t>
        </is>
      </c>
      <c r="G149" s="96" t="inlineStr">
        <is>
          <t>nein</t>
        </is>
      </c>
      <c r="H149" s="94" t="inlineStr">
        <is>
          <t>Oberteil konstruiert: Träger und Profile modelliert und die Teilenummern vergeben.</t>
        </is>
      </c>
      <c r="I149" s="86" t="n"/>
      <c r="J149" s="86" t="n"/>
      <c r="K149" s="86" t="n"/>
      <c r="L149" s="86" t="n"/>
    </row>
    <row r="150">
      <c r="A150" s="62">
        <f>A149+1</f>
        <v/>
      </c>
      <c r="B150" s="63">
        <f>IF(WEEKDAY(C150,2)=1,"Mo",IF(WEEKDAY(C150,2)=2,"Di",IF(WEEKDAY(C150,2)=3,"Mi",IF(WEEKDAY(C150,2)=4,"Do.",IF(WEEKDAY(C150,2)=5,"Fr.",IF(WEEKDAY(C150,2)=6,"Sa.","So"))))))</f>
        <v/>
      </c>
      <c r="C150" s="64">
        <f>C149+1</f>
        <v/>
      </c>
      <c r="D150" s="65" t="n"/>
      <c r="E150" s="97" t="n"/>
      <c r="F150" s="2" t="inlineStr">
        <is>
          <t>h</t>
        </is>
      </c>
      <c r="G150" s="96" t="inlineStr">
        <is>
          <t>nein</t>
        </is>
      </c>
      <c r="H150" s="67" t="n"/>
      <c r="I150" s="86" t="n"/>
      <c r="J150" s="86" t="n"/>
      <c r="K150" s="86" t="n"/>
      <c r="L150" s="86" t="n"/>
    </row>
    <row r="151">
      <c r="A151" s="62">
        <f>A150+1</f>
        <v/>
      </c>
      <c r="B151" s="63">
        <f>IF(WEEKDAY(C151,2)=1,"Mo",IF(WEEKDAY(C151,2)=2,"Di",IF(WEEKDAY(C151,2)=3,"Mi",IF(WEEKDAY(C151,2)=4,"Do.",IF(WEEKDAY(C151,2)=5,"Fr.",IF(WEEKDAY(C151,2)=6,"Sa.","So"))))))</f>
        <v/>
      </c>
      <c r="C151" s="64">
        <f>C150+1</f>
        <v/>
      </c>
      <c r="D151" s="65" t="n"/>
      <c r="E151" s="97" t="n"/>
      <c r="F151" s="2" t="inlineStr">
        <is>
          <t>h</t>
        </is>
      </c>
      <c r="G151" s="96" t="inlineStr">
        <is>
          <t>nein</t>
        </is>
      </c>
      <c r="H151" s="67" t="n"/>
      <c r="I151" s="86" t="n"/>
      <c r="J151" s="86" t="n"/>
      <c r="K151" s="86" t="n"/>
      <c r="L151" s="86" t="n"/>
    </row>
    <row r="152" ht="39" customHeight="1">
      <c r="A152" s="62">
        <f>A151+1</f>
        <v/>
      </c>
      <c r="B152" s="63">
        <f>IF(WEEKDAY(C152,2)=1,"Mo",IF(WEEKDAY(C152,2)=2,"Di",IF(WEEKDAY(C152,2)=3,"Mi",IF(WEEKDAY(C152,2)=4,"Do.",IF(WEEKDAY(C152,2)=5,"Fr.",IF(WEEKDAY(C152,2)=6,"Sa.","So"))))))</f>
        <v/>
      </c>
      <c r="C152" s="64">
        <f>C151+1</f>
        <v/>
      </c>
      <c r="D152" s="65" t="inlineStr">
        <is>
          <t>A</t>
        </is>
      </c>
      <c r="E152" s="97" t="n">
        <v>8.25</v>
      </c>
      <c r="F152" s="2" t="inlineStr">
        <is>
          <t>h</t>
        </is>
      </c>
      <c r="G152" s="96" t="inlineStr">
        <is>
          <t>nein</t>
        </is>
      </c>
      <c r="H152" s="94" t="inlineStr">
        <is>
          <t>Unterteil konstruiert: Beine, Streben und Fußplatten aufgebaut.</t>
        </is>
      </c>
      <c r="I152" s="86" t="n"/>
      <c r="J152" s="86" t="n"/>
      <c r="K152" s="86" t="n"/>
      <c r="L152" s="86" t="n"/>
    </row>
    <row r="153">
      <c r="A153" s="62">
        <f>A152+1</f>
        <v/>
      </c>
      <c r="B153" s="63">
        <f>IF(WEEKDAY(C153,2)=1,"Mo",IF(WEEKDAY(C153,2)=2,"Di",IF(WEEKDAY(C153,2)=3,"Mi",IF(WEEKDAY(C153,2)=4,"Do.",IF(WEEKDAY(C153,2)=5,"Fr.",IF(WEEKDAY(C153,2)=6,"Sa.","So"))))))</f>
        <v/>
      </c>
      <c r="C153" s="64">
        <f>C152+1</f>
        <v/>
      </c>
      <c r="D153" s="65" t="inlineStr">
        <is>
          <t>A</t>
        </is>
      </c>
      <c r="E153" s="97" t="n">
        <v>9.5</v>
      </c>
      <c r="F153" s="2" t="inlineStr">
        <is>
          <t>h</t>
        </is>
      </c>
      <c r="G153" s="96" t="inlineStr">
        <is>
          <t>nein</t>
        </is>
      </c>
      <c r="H153" s="67" t="inlineStr">
        <is>
          <t>Erweiterungssystem als Teleskop-Rahmen konstruiert, beidseitig ausziehbar.</t>
        </is>
      </c>
      <c r="I153" s="86" t="n"/>
      <c r="J153" s="86" t="n"/>
      <c r="K153" s="86" t="n"/>
      <c r="L153" s="86" t="n"/>
    </row>
    <row r="154" ht="26.25" customHeight="1">
      <c r="A154" s="62">
        <f>A153+1</f>
        <v/>
      </c>
      <c r="B154" s="63">
        <f>IF(WEEKDAY(C154,2)=1,"Mo",IF(WEEKDAY(C154,2)=2,"Di",IF(WEEKDAY(C154,2)=3,"Mi",IF(WEEKDAY(C154,2)=4,"Do.",IF(WEEKDAY(C154,2)=5,"Fr.",IF(WEEKDAY(C154,2)=6,"Sa.","So"))))))</f>
        <v/>
      </c>
      <c r="C154" s="64">
        <f>C153+1</f>
        <v/>
      </c>
      <c r="D154" s="65" t="inlineStr">
        <is>
          <t>VA</t>
        </is>
      </c>
      <c r="E154" s="97" t="n">
        <v>5.17</v>
      </c>
      <c r="F154" s="2" t="inlineStr">
        <is>
          <t>h</t>
        </is>
      </c>
      <c r="G154" s="96" t="inlineStr">
        <is>
          <t>ja</t>
        </is>
      </c>
      <c r="H154" s="94" t="inlineStr">
        <is>
          <t>Baugruppen zum Gesamtzusammenbau zusammengeführt und die Struktur geordnet.</t>
        </is>
      </c>
      <c r="I154" s="86" t="n"/>
      <c r="J154" s="86" t="n"/>
      <c r="K154" s="86" t="n"/>
      <c r="L154" s="86" t="n"/>
    </row>
    <row r="155" ht="26.25" customHeight="1">
      <c r="A155" s="62">
        <f>A154+1</f>
        <v/>
      </c>
      <c r="B155" s="63">
        <f>IF(WEEKDAY(C155,2)=1,"Mo",IF(WEEKDAY(C155,2)=2,"Di",IF(WEEKDAY(C155,2)=3,"Mi",IF(WEEKDAY(C155,2)=4,"Do.",IF(WEEKDAY(C155,2)=5,"Fr.",IF(WEEKDAY(C155,2)=6,"Sa.","So"))))))</f>
        <v/>
      </c>
      <c r="C155" s="64">
        <f>C154+1</f>
        <v/>
      </c>
      <c r="D155" s="65" t="inlineStr">
        <is>
          <t>F</t>
        </is>
      </c>
      <c r="E155" s="97" t="n"/>
      <c r="F155" s="2" t="inlineStr">
        <is>
          <t>h</t>
        </is>
      </c>
      <c r="G155" s="96" t="inlineStr">
        <is>
          <t>nein</t>
        </is>
      </c>
      <c r="H155" s="94" t="inlineStr">
        <is>
          <t>Fronleichnam</t>
        </is>
      </c>
      <c r="I155" s="86" t="n"/>
      <c r="J155" s="86" t="n"/>
      <c r="K155" s="86" t="n"/>
      <c r="L155" s="86" t="n"/>
    </row>
    <row r="156">
      <c r="A156" s="62">
        <f>A155+1</f>
        <v/>
      </c>
      <c r="B156" s="63">
        <f>IF(WEEKDAY(C156,2)=1,"Mo",IF(WEEKDAY(C156,2)=2,"Di",IF(WEEKDAY(C156,2)=3,"Mi",IF(WEEKDAY(C156,2)=4,"Do.",IF(WEEKDAY(C156,2)=5,"Fr.",IF(WEEKDAY(C156,2)=6,"Sa.","So"))))))</f>
        <v/>
      </c>
      <c r="C156" s="64">
        <f>C155+1</f>
        <v/>
      </c>
      <c r="D156" s="65" t="inlineStr">
        <is>
          <t>A</t>
        </is>
      </c>
      <c r="E156" s="97" t="n">
        <v>8</v>
      </c>
      <c r="F156" s="2" t="inlineStr">
        <is>
          <t>h</t>
        </is>
      </c>
      <c r="G156" s="96" t="inlineStr">
        <is>
          <t>nein</t>
        </is>
      </c>
      <c r="H156" s="67" t="inlineStr">
        <is>
          <t>Kollisionen und Verfahrwege im Modell geprüft und die Führungen angepasst.</t>
        </is>
      </c>
      <c r="I156" s="86" t="n"/>
      <c r="J156" s="86" t="n"/>
      <c r="K156" s="86" t="n"/>
      <c r="L156" s="86" t="n"/>
    </row>
    <row r="157">
      <c r="A157" s="62">
        <f>A156+1</f>
        <v/>
      </c>
      <c r="B157" s="63">
        <f>IF(WEEKDAY(C157,2)=1,"Mo",IF(WEEKDAY(C157,2)=2,"Di",IF(WEEKDAY(C157,2)=3,"Mi",IF(WEEKDAY(C157,2)=4,"Do.",IF(WEEKDAY(C157,2)=5,"Fr.",IF(WEEKDAY(C157,2)=6,"Sa.","So"))))))</f>
        <v/>
      </c>
      <c r="C157" s="64">
        <f>C156+1</f>
        <v/>
      </c>
      <c r="D157" s="65" t="n"/>
      <c r="E157" s="97" t="n"/>
      <c r="F157" s="2" t="inlineStr">
        <is>
          <t>h</t>
        </is>
      </c>
      <c r="G157" s="96" t="inlineStr">
        <is>
          <t>nein</t>
        </is>
      </c>
      <c r="H157" s="67" t="n"/>
      <c r="I157" s="86" t="n"/>
      <c r="J157" s="86" t="n"/>
      <c r="K157" s="86" t="n"/>
      <c r="L157" s="86" t="n"/>
    </row>
    <row r="158">
      <c r="A158" s="62">
        <f>A157+1</f>
        <v/>
      </c>
      <c r="B158" s="63">
        <f>IF(WEEKDAY(C158,2)=1,"Mo",IF(WEEKDAY(C158,2)=2,"Di",IF(WEEKDAY(C158,2)=3,"Mi",IF(WEEKDAY(C158,2)=4,"Do.",IF(WEEKDAY(C158,2)=5,"Fr.",IF(WEEKDAY(C158,2)=6,"Sa.","So"))))))</f>
        <v/>
      </c>
      <c r="C158" s="64">
        <f>C157+1</f>
        <v/>
      </c>
      <c r="D158" s="65" t="n"/>
      <c r="E158" s="97" t="n"/>
      <c r="F158" s="2" t="inlineStr">
        <is>
          <t>h</t>
        </is>
      </c>
      <c r="G158" s="96" t="inlineStr">
        <is>
          <t>nein</t>
        </is>
      </c>
      <c r="H158" s="67" t="n"/>
      <c r="I158" s="86" t="n"/>
      <c r="J158" s="86" t="n"/>
      <c r="K158" s="86" t="n"/>
      <c r="L158" s="86" t="n"/>
    </row>
    <row r="159" ht="51" customHeight="1">
      <c r="A159" s="62">
        <f>A158+1</f>
        <v/>
      </c>
      <c r="B159" s="63">
        <f>IF(WEEKDAY(C159,2)=1,"Mo",IF(WEEKDAY(C159,2)=2,"Di",IF(WEEKDAY(C159,2)=3,"Mi",IF(WEEKDAY(C159,2)=4,"Do.",IF(WEEKDAY(C159,2)=5,"Fr.",IF(WEEKDAY(C159,2)=6,"Sa.","So"))))))</f>
        <v/>
      </c>
      <c r="C159" s="64">
        <f>C158+1</f>
        <v/>
      </c>
      <c r="D159" s="65" t="inlineStr">
        <is>
          <t>A</t>
        </is>
      </c>
      <c r="E159" s="97" t="n">
        <v>8.75</v>
      </c>
      <c r="F159" s="2" t="inlineStr">
        <is>
          <t>h</t>
        </is>
      </c>
      <c r="G159" s="96" t="inlineStr">
        <is>
          <t>nein</t>
        </is>
      </c>
      <c r="H159" s="94" t="inlineStr">
        <is>
          <t>Erste Zeichnungsblätter abgeleitet und bemaßt.</t>
        </is>
      </c>
      <c r="I159" s="86" t="n"/>
      <c r="J159" s="86" t="n"/>
      <c r="K159" s="86" t="n"/>
      <c r="L159" s="86" t="n"/>
    </row>
    <row r="160" ht="26.25" customHeight="1">
      <c r="A160" s="62">
        <f>A159+1</f>
        <v/>
      </c>
      <c r="B160" s="63">
        <f>IF(WEEKDAY(C160,2)=1,"Mo",IF(WEEKDAY(C160,2)=2,"Di",IF(WEEKDAY(C160,2)=3,"Mi",IF(WEEKDAY(C160,2)=4,"Do.",IF(WEEKDAY(C160,2)=5,"Fr.",IF(WEEKDAY(C160,2)=6,"Sa.","So"))))))</f>
        <v/>
      </c>
      <c r="C160" s="64">
        <f>C159+1</f>
        <v/>
      </c>
      <c r="D160" s="65" t="inlineStr">
        <is>
          <t>A</t>
        </is>
      </c>
      <c r="E160" s="97" t="n">
        <v>9.25</v>
      </c>
      <c r="F160" s="2" t="inlineStr">
        <is>
          <t>h</t>
        </is>
      </c>
      <c r="G160" s="96" t="inlineStr">
        <is>
          <t>nein</t>
        </is>
      </c>
      <c r="H160" s="94" t="inlineStr">
        <is>
          <t>Weitere Einzelteilzeichnungen erstellt und die Schriftfelder ausgefüllt.</t>
        </is>
      </c>
      <c r="I160" s="86" t="n"/>
      <c r="J160" s="86" t="n"/>
      <c r="K160" s="86" t="n"/>
      <c r="L160" s="86" t="n"/>
    </row>
    <row r="161" ht="39" customHeight="1">
      <c r="A161" s="62">
        <f>A160+1</f>
        <v/>
      </c>
      <c r="B161" s="63">
        <f>IF(WEEKDAY(C161,2)=1,"Mo",IF(WEEKDAY(C161,2)=2,"Di",IF(WEEKDAY(C161,2)=3,"Mi",IF(WEEKDAY(C161,2)=4,"Do.",IF(WEEKDAY(C161,2)=5,"Fr.",IF(WEEKDAY(C161,2)=6,"Sa.","So"))))))</f>
        <v/>
      </c>
      <c r="C161" s="64">
        <f>C160+1</f>
        <v/>
      </c>
      <c r="D161" s="65" t="inlineStr">
        <is>
          <t>VA</t>
        </is>
      </c>
      <c r="E161" s="97" t="n">
        <v>5.5</v>
      </c>
      <c r="F161" s="2" t="inlineStr">
        <is>
          <t>h</t>
        </is>
      </c>
      <c r="G161" s="96" t="inlineStr">
        <is>
          <t>ja</t>
        </is>
      </c>
      <c r="H161" s="94" t="inlineStr">
        <is>
          <t>Stücklisten der Baugruppen erstellt und die Zukaufteile gekennzeichnet.</t>
        </is>
      </c>
      <c r="I161" s="86" t="n"/>
      <c r="J161" s="86" t="n"/>
      <c r="K161" s="86" t="n"/>
      <c r="L161" s="86" t="n"/>
    </row>
    <row r="162" ht="51" customHeight="1">
      <c r="A162" s="62">
        <f>A161+1</f>
        <v/>
      </c>
      <c r="B162" s="63">
        <f>IF(WEEKDAY(C162,2)=1,"Mo",IF(WEEKDAY(C162,2)=2,"Di",IF(WEEKDAY(C162,2)=3,"Mi",IF(WEEKDAY(C162,2)=4,"Do.",IF(WEEKDAY(C162,2)=5,"Fr.",IF(WEEKDAY(C162,2)=6,"Sa.","So"))))))</f>
        <v/>
      </c>
      <c r="C162" s="64">
        <f>C161+1</f>
        <v/>
      </c>
      <c r="D162" s="65" t="inlineStr">
        <is>
          <t>A</t>
        </is>
      </c>
      <c r="E162" s="97" t="n">
        <v>8.08</v>
      </c>
      <c r="F162" s="2" t="inlineStr">
        <is>
          <t>h</t>
        </is>
      </c>
      <c r="G162" s="96" t="inlineStr">
        <is>
          <t>nein</t>
        </is>
      </c>
      <c r="H162" s="94" t="inlineStr">
        <is>
          <t>Aufgabenstellung zum Schweißmaschinenwagen erhalten. Vorhandenen Wagen im Betrieb fotografiert und den Zustand aufgenommen.</t>
        </is>
      </c>
      <c r="I162" s="86" t="n"/>
      <c r="J162" s="86" t="n"/>
      <c r="K162" s="86" t="n"/>
      <c r="L162" s="86" t="n"/>
    </row>
    <row r="163" ht="76.5" customHeight="1">
      <c r="A163" s="62">
        <f>A162+1</f>
        <v/>
      </c>
      <c r="B163" s="63">
        <f>IF(WEEKDAY(C163,2)=1,"Mo",IF(WEEKDAY(C163,2)=2,"Di",IF(WEEKDAY(C163,2)=3,"Mi",IF(WEEKDAY(C163,2)=4,"Do.",IF(WEEKDAY(C163,2)=5,"Fr.",IF(WEEKDAY(C163,2)=6,"Sa.","So"))))))</f>
        <v/>
      </c>
      <c r="C163" s="64">
        <f>C162+1</f>
        <v/>
      </c>
      <c r="D163" s="65" t="inlineStr">
        <is>
          <t>A</t>
        </is>
      </c>
      <c r="E163" s="97" t="n">
        <v>8.5</v>
      </c>
      <c r="F163" s="2" t="inlineStr">
        <is>
          <t>h</t>
        </is>
      </c>
      <c r="G163" s="96" t="inlineStr">
        <is>
          <t>nein</t>
        </is>
      </c>
      <c r="H163" s="94" t="inlineStr">
        <is>
          <t>Schweißgerät und Gasflasche vor Ort aufgemessen und die Maße in einer Handskizze festgehalten.</t>
        </is>
      </c>
      <c r="I163" s="86" t="n"/>
      <c r="J163" s="86" t="n"/>
      <c r="K163" s="86" t="n"/>
      <c r="L163" s="86" t="n"/>
    </row>
    <row r="164">
      <c r="A164" s="62">
        <f>A163+1</f>
        <v/>
      </c>
      <c r="B164" s="63">
        <f>IF(WEEKDAY(C164,2)=1,"Mo",IF(WEEKDAY(C164,2)=2,"Di",IF(WEEKDAY(C164,2)=3,"Mi",IF(WEEKDAY(C164,2)=4,"Do.",IF(WEEKDAY(C164,2)=5,"Fr.",IF(WEEKDAY(C164,2)=6,"Sa.","So"))))))</f>
        <v/>
      </c>
      <c r="C164" s="64">
        <f>C163+1</f>
        <v/>
      </c>
      <c r="D164" s="65" t="n"/>
      <c r="E164" s="97" t="n"/>
      <c r="F164" s="2" t="inlineStr">
        <is>
          <t>h</t>
        </is>
      </c>
      <c r="G164" s="96" t="inlineStr">
        <is>
          <t>nein</t>
        </is>
      </c>
      <c r="H164" s="67" t="n"/>
      <c r="I164" s="86" t="n"/>
      <c r="J164" s="86" t="n"/>
      <c r="K164" s="86" t="n"/>
      <c r="L164" s="86" t="n"/>
    </row>
    <row r="165">
      <c r="A165" s="62">
        <f>A164+1</f>
        <v/>
      </c>
      <c r="B165" s="63">
        <f>IF(WEEKDAY(C165,2)=1,"Mo",IF(WEEKDAY(C165,2)=2,"Di",IF(WEEKDAY(C165,2)=3,"Mi",IF(WEEKDAY(C165,2)=4,"Do.",IF(WEEKDAY(C165,2)=5,"Fr.",IF(WEEKDAY(C165,2)=6,"Sa.","So"))))))</f>
        <v/>
      </c>
      <c r="C165" s="64">
        <f>C164+1</f>
        <v/>
      </c>
      <c r="D165" s="65" t="n"/>
      <c r="E165" s="97" t="n"/>
      <c r="F165" s="2" t="inlineStr">
        <is>
          <t>h</t>
        </is>
      </c>
      <c r="G165" s="96" t="inlineStr">
        <is>
          <t>nein</t>
        </is>
      </c>
      <c r="H165" s="67" t="n"/>
      <c r="I165" s="86" t="n"/>
      <c r="J165" s="86" t="n"/>
      <c r="K165" s="86" t="n"/>
      <c r="L165" s="86" t="n"/>
    </row>
    <row r="166" ht="51" customHeight="1">
      <c r="A166" s="62">
        <f>A165+1</f>
        <v/>
      </c>
      <c r="B166" s="63">
        <f>IF(WEEKDAY(C166,2)=1,"Mo",IF(WEEKDAY(C166,2)=2,"Di",IF(WEEKDAY(C166,2)=3,"Mi",IF(WEEKDAY(C166,2)=4,"Do.",IF(WEEKDAY(C166,2)=5,"Fr.",IF(WEEKDAY(C166,2)=6,"Sa.","So"))))))</f>
        <v/>
      </c>
      <c r="C166" s="64">
        <f>C165+1</f>
        <v/>
      </c>
      <c r="D166" s="65" t="inlineStr">
        <is>
          <t>A</t>
        </is>
      </c>
      <c r="E166" s="97" t="n">
        <v>9</v>
      </c>
      <c r="F166" s="2" t="inlineStr">
        <is>
          <t>h</t>
        </is>
      </c>
      <c r="G166" s="96" t="inlineStr">
        <is>
          <t>nein</t>
        </is>
      </c>
      <c r="H166" s="94" t="inlineStr">
        <is>
          <t>Vereinfachte CAD-Platzhalter für Gerät und Flasche erstellt, um den Bauraum abzubilden.</t>
        </is>
      </c>
      <c r="I166" s="86" t="n"/>
      <c r="J166" s="86" t="n"/>
      <c r="K166" s="86" t="n"/>
      <c r="L166" s="86" t="n"/>
    </row>
    <row r="167" ht="26.25" customHeight="1">
      <c r="A167" s="62">
        <f>A166+1</f>
        <v/>
      </c>
      <c r="B167" s="63">
        <f>IF(WEEKDAY(C167,2)=1,"Mo",IF(WEEKDAY(C167,2)=2,"Di",IF(WEEKDAY(C167,2)=3,"Mi",IF(WEEKDAY(C167,2)=4,"Do.",IF(WEEKDAY(C167,2)=5,"Fr.",IF(WEEKDAY(C167,2)=6,"Sa.","So"))))))</f>
        <v/>
      </c>
      <c r="C167" s="64">
        <f>C166+1</f>
        <v/>
      </c>
      <c r="D167" s="65" t="inlineStr">
        <is>
          <t>A</t>
        </is>
      </c>
      <c r="E167" s="97" t="n">
        <v>7.92</v>
      </c>
      <c r="F167" s="2" t="inlineStr">
        <is>
          <t>h</t>
        </is>
      </c>
      <c r="G167" s="96" t="inlineStr">
        <is>
          <t>nein</t>
        </is>
      </c>
      <c r="H167" s="94" t="inlineStr">
        <is>
          <t>Anforderungsliste aufgestellt: was der Wagen tragen und was er können muss.</t>
        </is>
      </c>
      <c r="I167" s="86" t="n"/>
      <c r="J167" s="86" t="n"/>
      <c r="K167" s="86" t="n"/>
      <c r="L167" s="86" t="n"/>
    </row>
    <row r="168" ht="51" customHeight="1">
      <c r="A168" s="62">
        <f>A167+1</f>
        <v/>
      </c>
      <c r="B168" s="63">
        <f>IF(WEEKDAY(C168,2)=1,"Mo",IF(WEEKDAY(C168,2)=2,"Di",IF(WEEKDAY(C168,2)=3,"Mi",IF(WEEKDAY(C168,2)=4,"Do.",IF(WEEKDAY(C168,2)=5,"Fr.",IF(WEEKDAY(C168,2)=6,"Sa.","So"))))))</f>
        <v/>
      </c>
      <c r="C168" s="64">
        <f>C167+1</f>
        <v/>
      </c>
      <c r="D168" s="65" t="inlineStr">
        <is>
          <t>VA</t>
        </is>
      </c>
      <c r="E168" s="97" t="n">
        <v>6</v>
      </c>
      <c r="F168" s="2" t="inlineStr">
        <is>
          <t>h</t>
        </is>
      </c>
      <c r="G168" s="96" t="inlineStr">
        <is>
          <t>ja</t>
        </is>
      </c>
      <c r="H168" s="94" t="inlineStr">
        <is>
          <t>Anforderungsliste auf 14 nummerierte Punkte gebracht und mit dem Betreuer abgestimmt.</t>
        </is>
      </c>
      <c r="I168" s="86" t="n"/>
      <c r="J168" s="86" t="n"/>
      <c r="K168" s="86" t="n"/>
      <c r="L168" s="86" t="n"/>
    </row>
    <row r="169">
      <c r="A169" s="62">
        <f>A168+1</f>
        <v/>
      </c>
      <c r="B169" s="63">
        <f>IF(WEEKDAY(C169,2)=1,"Mo",IF(WEEKDAY(C169,2)=2,"Di",IF(WEEKDAY(C169,2)=3,"Mi",IF(WEEKDAY(C169,2)=4,"Do.",IF(WEEKDAY(C169,2)=5,"Fr.",IF(WEEKDAY(C169,2)=6,"Sa.","So"))))))</f>
        <v/>
      </c>
      <c r="C169" s="64">
        <f>C168+1</f>
        <v/>
      </c>
      <c r="D169" s="65" t="inlineStr">
        <is>
          <t>A</t>
        </is>
      </c>
      <c r="E169" s="97" t="n">
        <v>8.25</v>
      </c>
      <c r="F169" s="2" t="inlineStr">
        <is>
          <t>h</t>
        </is>
      </c>
      <c r="G169" s="96" t="inlineStr">
        <is>
          <t>nein</t>
        </is>
      </c>
      <c r="H169" s="67" t="inlineStr">
        <is>
          <t>Referenzprojekte recherchiert und fünf Designrichtungen für den Wagen gesammelt.</t>
        </is>
      </c>
      <c r="I169" s="86" t="n"/>
      <c r="J169" s="86" t="n"/>
      <c r="K169" s="86" t="n"/>
      <c r="L169" s="86" t="n"/>
    </row>
    <row r="170" ht="26.25" customHeight="1">
      <c r="A170" s="62">
        <f>A169+1</f>
        <v/>
      </c>
      <c r="B170" s="63">
        <f>IF(WEEKDAY(C170,2)=1,"Mo",IF(WEEKDAY(C170,2)=2,"Di",IF(WEEKDAY(C170,2)=3,"Mi",IF(WEEKDAY(C170,2)=4,"Do.",IF(WEEKDAY(C170,2)=5,"Fr.",IF(WEEKDAY(C170,2)=6,"Sa.","So"))))))</f>
        <v/>
      </c>
      <c r="C170" s="64">
        <f>C169+1</f>
        <v/>
      </c>
      <c r="D170" s="65" t="inlineStr">
        <is>
          <t>A</t>
        </is>
      </c>
      <c r="E170" s="97" t="n">
        <v>9.25</v>
      </c>
      <c r="F170" s="2" t="inlineStr">
        <is>
          <t>h</t>
        </is>
      </c>
      <c r="G170" s="96" t="inlineStr">
        <is>
          <t>nein</t>
        </is>
      </c>
      <c r="H170" s="94" t="inlineStr">
        <is>
          <t>Zwei erste Entwürfe im CAD aufgebaut und gegenübergestellt.</t>
        </is>
      </c>
      <c r="I170" s="86" t="n"/>
      <c r="J170" s="86" t="n"/>
      <c r="K170" s="86" t="n"/>
      <c r="L170" s="86" t="n"/>
    </row>
    <row r="171">
      <c r="A171" s="62">
        <f>A170+1</f>
        <v/>
      </c>
      <c r="B171" s="63">
        <f>IF(WEEKDAY(C171,2)=1,"Mo",IF(WEEKDAY(C171,2)=2,"Di",IF(WEEKDAY(C171,2)=3,"Mi",IF(WEEKDAY(C171,2)=4,"Do.",IF(WEEKDAY(C171,2)=5,"Fr.",IF(WEEKDAY(C171,2)=6,"Sa.","So"))))))</f>
        <v/>
      </c>
      <c r="C171" s="64">
        <f>C170+1</f>
        <v/>
      </c>
      <c r="D171" s="65" t="n"/>
      <c r="E171" s="97" t="n"/>
      <c r="F171" s="2" t="inlineStr">
        <is>
          <t>h</t>
        </is>
      </c>
      <c r="G171" s="96" t="inlineStr">
        <is>
          <t>nein</t>
        </is>
      </c>
      <c r="H171" s="67" t="n"/>
      <c r="I171" s="86" t="n"/>
      <c r="J171" s="86" t="n"/>
      <c r="K171" s="86" t="n"/>
      <c r="L171" s="86" t="n"/>
    </row>
    <row r="172" ht="14.25" customHeight="1" thickBot="1">
      <c r="A172" s="69">
        <f>A171+1</f>
        <v/>
      </c>
      <c r="B172" s="70">
        <f>IF(WEEKDAY(C172,2)=1,"Mo",IF(WEEKDAY(C172,2)=2,"Di",IF(WEEKDAY(C172,2)=3,"Mi",IF(WEEKDAY(C172,2)=4,"Do.",IF(WEEKDAY(C172,2)=5,"Fr.",IF(WEEKDAY(C172,2)=6,"Sa.","So"))))))</f>
        <v/>
      </c>
      <c r="C172" s="71">
        <f>C171+1</f>
        <v/>
      </c>
      <c r="D172" s="72" t="n"/>
      <c r="E172" s="73" t="n"/>
      <c r="F172" s="11" t="inlineStr">
        <is>
          <t>h</t>
        </is>
      </c>
      <c r="G172" s="13" t="inlineStr">
        <is>
          <t>nein</t>
        </is>
      </c>
      <c r="H172" s="74" t="n"/>
      <c r="I172" s="86" t="n"/>
      <c r="J172" s="86" t="n"/>
      <c r="K172" s="86" t="n"/>
      <c r="L172" s="86" t="n"/>
      <c r="N172" s="49" t="n"/>
      <c r="O172" s="50" t="inlineStr">
        <is>
          <t xml:space="preserve">Hier sollte der Seitenumbruch Seite 4 auf Seite 5 sein - Bitte nutzen Sie die Seitenumbruchsansicht (Reiter "Ansicht &gt; Umbruchsvorschau) </t>
        </is>
      </c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</row>
    <row r="173">
      <c r="A173" s="88" t="n"/>
      <c r="B173" s="88" t="n"/>
      <c r="C173" s="88" t="n"/>
      <c r="D173" s="88" t="n"/>
      <c r="E173" s="88" t="n"/>
      <c r="F173" s="37" t="n"/>
      <c r="G173" s="37" t="n"/>
      <c r="H173" s="88" t="n"/>
      <c r="I173" s="88" t="n"/>
      <c r="J173" s="88" t="n"/>
      <c r="K173" s="88" t="n"/>
      <c r="L173" s="88" t="n"/>
      <c r="N173" s="48" t="n"/>
      <c r="O173" s="1" t="inlineStr">
        <is>
          <t>Sie könne mit der Maus den Umbruch verschieben.</t>
        </is>
      </c>
    </row>
    <row r="174">
      <c r="A174" s="110">
        <f>Student_Name</f>
        <v/>
      </c>
      <c r="B174" s="116" t="n"/>
      <c r="C174" s="116" t="n"/>
      <c r="D174" s="116" t="n"/>
      <c r="E174" s="116" t="n"/>
      <c r="F174" s="116" t="n"/>
      <c r="G174" s="100" t="n"/>
      <c r="H174" s="110">
        <f>Ausbildungsbetrieb_Unternehmen</f>
        <v/>
      </c>
      <c r="I174" s="87" t="n"/>
      <c r="J174" s="87" t="n"/>
      <c r="K174" s="87" t="n"/>
      <c r="L174" s="87" t="n"/>
    </row>
    <row r="175" ht="7.5" customHeight="1">
      <c r="A175" s="76" t="inlineStr">
        <is>
          <t>Name</t>
        </is>
      </c>
      <c r="B175" s="76" t="n"/>
      <c r="C175" s="76" t="n"/>
      <c r="D175" s="76" t="n"/>
      <c r="E175" s="76" t="n"/>
      <c r="F175" s="28" t="n"/>
      <c r="G175" s="28" t="n"/>
      <c r="H175" s="76" t="inlineStr">
        <is>
          <t>Ausbildungsbetrieb</t>
        </is>
      </c>
      <c r="I175" s="76" t="n"/>
      <c r="J175" s="76" t="n"/>
      <c r="K175" s="76" t="n"/>
      <c r="L175" s="76" t="n"/>
    </row>
    <row r="176" ht="7.5" customHeight="1">
      <c r="A176" s="87" t="n"/>
      <c r="B176" s="87" t="n"/>
      <c r="C176" s="87" t="n"/>
      <c r="D176" s="87" t="n"/>
      <c r="E176" s="87" t="n"/>
      <c r="F176" s="100" t="n"/>
      <c r="G176" s="100" t="n"/>
      <c r="H176" s="87" t="n"/>
      <c r="I176" s="87" t="n"/>
      <c r="J176" s="87" t="n"/>
      <c r="K176" s="87" t="n"/>
      <c r="L176" s="87" t="n"/>
    </row>
    <row r="177">
      <c r="A177" s="110">
        <f>Student_Vorname</f>
        <v/>
      </c>
      <c r="B177" s="116" t="n"/>
      <c r="C177" s="116" t="n"/>
      <c r="D177" s="116" t="n"/>
      <c r="E177" s="116" t="n"/>
      <c r="F177" s="116" t="n"/>
      <c r="G177" s="100" t="n"/>
      <c r="H177" s="110">
        <f>CONCATENATE(Ausbildungsbetrieb_Vorname, " ", Ausbildungsbetrieb_Name)</f>
        <v/>
      </c>
      <c r="I177" s="87" t="n"/>
      <c r="J177" s="87" t="n"/>
      <c r="K177" s="87" t="n"/>
      <c r="L177" s="87" t="n"/>
    </row>
    <row r="178" ht="7.5" customHeight="1">
      <c r="A178" s="76" t="inlineStr">
        <is>
          <t>Vorname</t>
        </is>
      </c>
      <c r="B178" s="76" t="n"/>
      <c r="C178" s="76" t="n"/>
      <c r="D178" s="76" t="n"/>
      <c r="E178" s="76" t="n"/>
      <c r="F178" s="28" t="n"/>
      <c r="G178" s="28" t="n"/>
      <c r="H178" s="76" t="inlineStr">
        <is>
          <t>Ansprechpartner im Betrieb</t>
        </is>
      </c>
      <c r="I178" s="76" t="n"/>
      <c r="J178" s="76" t="n"/>
      <c r="K178" s="76" t="n"/>
      <c r="L178" s="76" t="n"/>
    </row>
    <row r="179" ht="7.5" customHeight="1">
      <c r="A179" s="87" t="n"/>
      <c r="B179" s="87" t="n"/>
      <c r="C179" s="87" t="n"/>
      <c r="D179" s="87" t="n"/>
      <c r="E179" s="87" t="n"/>
      <c r="F179" s="100" t="n"/>
      <c r="G179" s="100" t="n"/>
      <c r="H179" s="87" t="n"/>
      <c r="I179" s="87" t="n"/>
      <c r="J179" s="87" t="n"/>
      <c r="K179" s="87" t="n"/>
      <c r="L179" s="87" t="n"/>
    </row>
    <row r="180">
      <c r="A180" s="110">
        <f>Student_Studiengruppe</f>
        <v/>
      </c>
      <c r="B180" s="116" t="n"/>
      <c r="C180" s="116" t="n"/>
      <c r="D180" s="116" t="n"/>
      <c r="E180" s="116" t="n"/>
      <c r="F180" s="116" t="n"/>
      <c r="G180" s="100" t="n"/>
      <c r="H180" s="110">
        <f>Ausbildungsbetrieb_Email</f>
        <v/>
      </c>
      <c r="I180" s="87" t="n"/>
      <c r="J180" s="87" t="n"/>
      <c r="K180" s="87" t="n"/>
      <c r="L180" s="87" t="n"/>
    </row>
    <row r="181" ht="7.5" customHeight="1">
      <c r="A181" s="76" t="inlineStr">
        <is>
          <t>Studiengruppe</t>
        </is>
      </c>
      <c r="B181" s="76" t="n"/>
      <c r="C181" s="76" t="n"/>
      <c r="D181" s="76" t="n"/>
      <c r="E181" s="76" t="n"/>
      <c r="F181" s="28" t="n"/>
      <c r="G181" s="28" t="n"/>
      <c r="H181" s="76" t="inlineStr">
        <is>
          <t>Email Ansprechpartner</t>
        </is>
      </c>
      <c r="I181" s="76" t="n"/>
      <c r="J181" s="76" t="n"/>
      <c r="K181" s="76" t="n"/>
      <c r="L181" s="76" t="n"/>
    </row>
    <row r="182" ht="7.5" customHeight="1">
      <c r="A182" s="87" t="n"/>
      <c r="B182" s="87" t="n"/>
      <c r="C182" s="87" t="n"/>
      <c r="D182" s="87" t="n"/>
      <c r="E182" s="87" t="n"/>
      <c r="F182" s="100" t="n"/>
      <c r="G182" s="100" t="n"/>
      <c r="H182" s="87" t="n"/>
      <c r="I182" s="87" t="n"/>
      <c r="J182" s="87" t="n"/>
      <c r="K182" s="87" t="n"/>
      <c r="L182" s="87" t="n"/>
    </row>
    <row r="183">
      <c r="A183" s="110">
        <f>Student_Matrikelnummer</f>
        <v/>
      </c>
      <c r="B183" s="116" t="n"/>
      <c r="C183" s="116" t="n"/>
      <c r="D183" s="116" t="n"/>
      <c r="E183" s="116" t="n"/>
      <c r="F183" s="116" t="n"/>
      <c r="G183" s="100" t="n"/>
      <c r="H183" s="110">
        <f>Ausbildungsbetrieb_Telefon</f>
        <v/>
      </c>
      <c r="I183" s="87" t="n"/>
      <c r="J183" s="87" t="n"/>
      <c r="K183" s="87" t="n"/>
      <c r="L183" s="87" t="n"/>
    </row>
    <row r="184" ht="7.5" customHeight="1">
      <c r="A184" s="76" t="inlineStr">
        <is>
          <t>Matrikelnummer</t>
        </is>
      </c>
      <c r="B184" s="76" t="n"/>
      <c r="C184" s="76" t="n"/>
      <c r="D184" s="76" t="n"/>
      <c r="E184" s="76" t="n"/>
      <c r="F184" s="28" t="n"/>
      <c r="G184" s="28" t="n"/>
      <c r="H184" s="76" t="inlineStr">
        <is>
          <t>Telefon Ansprechpartner</t>
        </is>
      </c>
      <c r="I184" s="76" t="n"/>
      <c r="J184" s="76" t="n"/>
      <c r="K184" s="76" t="n"/>
      <c r="L184" s="76" t="n"/>
    </row>
    <row r="185" ht="7.5" customHeight="1" thickBot="1">
      <c r="A185" s="87" t="n"/>
      <c r="B185" s="87" t="n"/>
      <c r="C185" s="87" t="n"/>
      <c r="D185" s="87" t="n"/>
      <c r="E185" s="87" t="n"/>
      <c r="F185" s="100" t="n"/>
      <c r="G185" s="100" t="n"/>
      <c r="H185" s="87" t="n"/>
      <c r="I185" s="87" t="n"/>
      <c r="J185" s="87" t="n"/>
      <c r="K185" s="87" t="n"/>
      <c r="L185" s="87" t="n"/>
    </row>
    <row r="186">
      <c r="A186" s="78" t="n"/>
      <c r="B186" s="79" t="n"/>
      <c r="C186" s="79" t="n"/>
      <c r="D186" s="79" t="n"/>
      <c r="E186" s="79" t="inlineStr">
        <is>
          <t>Typ</t>
        </is>
      </c>
      <c r="F186" s="15" t="n"/>
      <c r="G186" s="15" t="n"/>
      <c r="H186" s="80" t="inlineStr">
        <is>
          <t>Vorlesung besucht?</t>
        </is>
      </c>
      <c r="I186" s="88" t="n"/>
      <c r="J186" s="88" t="n"/>
      <c r="K186" s="88" t="n"/>
      <c r="L186" s="88" t="n"/>
    </row>
    <row r="187" ht="45" customHeight="1" thickBot="1">
      <c r="A187" s="111" t="inlineStr">
        <is>
          <t>Tag</t>
        </is>
      </c>
      <c r="B187" s="117" t="n"/>
      <c r="C187" s="81" t="inlineStr">
        <is>
          <t>Datum</t>
        </is>
      </c>
      <c r="D187" s="81" t="n"/>
      <c r="E187" s="113" t="inlineStr">
        <is>
          <t>Anwesen-heitszeit im Betrieb</t>
        </is>
      </c>
      <c r="F187" s="117" t="n"/>
      <c r="G187" s="109" t="n"/>
      <c r="H187" s="82" t="inlineStr">
        <is>
          <t>genaue Angaben zu den Tätigkeiten</t>
        </is>
      </c>
      <c r="I187" s="88" t="n"/>
      <c r="J187" s="88" t="n"/>
      <c r="K187" s="88" t="n"/>
      <c r="L187" s="88" t="n"/>
    </row>
    <row r="188" ht="26.25" customHeight="1">
      <c r="A188" s="56">
        <f>A172+1</f>
        <v/>
      </c>
      <c r="B188" s="57">
        <f>IF(WEEKDAY(C188,2)=1,"Mo",IF(WEEKDAY(C188,2)=2,"Di",IF(WEEKDAY(C188,2)=3,"Mi",IF(WEEKDAY(C188,2)=4,"Do.",IF(WEEKDAY(C188,2)=5,"Fr.",IF(WEEKDAY(C188,2)=6,"Sa.","So"))))))</f>
        <v/>
      </c>
      <c r="C188" s="58">
        <f>C172+1</f>
        <v/>
      </c>
      <c r="D188" s="59" t="inlineStr">
        <is>
          <t>A</t>
        </is>
      </c>
      <c r="E188" s="60" t="n">
        <v>8.75</v>
      </c>
      <c r="F188" s="6" t="inlineStr">
        <is>
          <t>h</t>
        </is>
      </c>
      <c r="G188" s="8" t="inlineStr">
        <is>
          <t>nein</t>
        </is>
      </c>
      <c r="H188" s="94" t="inlineStr">
        <is>
          <t>Maße und Ergonomie festgelegt, Gewicht des beladenen Wagens grob abgeschätzt.</t>
        </is>
      </c>
      <c r="I188" s="86" t="n"/>
      <c r="J188" s="86" t="n"/>
      <c r="K188" s="86" t="n"/>
      <c r="L188" s="86" t="n"/>
    </row>
    <row r="189" ht="51" customHeight="1">
      <c r="A189" s="62">
        <f>A188+1</f>
        <v/>
      </c>
      <c r="B189" s="63">
        <f>IF(WEEKDAY(C189,2)=1,"Mo",IF(WEEKDAY(C189,2)=2,"Di",IF(WEEKDAY(C189,2)=3,"Mi",IF(WEEKDAY(C189,2)=4,"Do.",IF(WEEKDAY(C189,2)=5,"Fr.",IF(WEEKDAY(C189,2)=6,"Sa.","So"))))))</f>
        <v/>
      </c>
      <c r="C189" s="64">
        <f>C188+1</f>
        <v/>
      </c>
      <c r="D189" s="65" t="inlineStr">
        <is>
          <t>A</t>
        </is>
      </c>
      <c r="E189" s="97" t="n">
        <v>8.5</v>
      </c>
      <c r="F189" s="2" t="inlineStr">
        <is>
          <t>h</t>
        </is>
      </c>
      <c r="G189" s="96" t="inlineStr">
        <is>
          <t>nein</t>
        </is>
      </c>
      <c r="H189" s="94" t="inlineStr">
        <is>
          <t>Kompletten Neubau als Variante A konstruiert und einen Belegungsplan mit 16 Werkzeugpositionen erstellt.</t>
        </is>
      </c>
      <c r="I189" s="86" t="n"/>
      <c r="J189" s="86" t="n"/>
      <c r="K189" s="86" t="n"/>
      <c r="L189" s="86" t="n"/>
    </row>
    <row r="190" ht="51" customHeight="1">
      <c r="A190" s="62">
        <f>A189+1</f>
        <v/>
      </c>
      <c r="B190" s="63">
        <f>IF(WEEKDAY(C190,2)=1,"Mo",IF(WEEKDAY(C190,2)=2,"Di",IF(WEEKDAY(C190,2)=3,"Mi",IF(WEEKDAY(C190,2)=4,"Do.",IF(WEEKDAY(C190,2)=5,"Fr.",IF(WEEKDAY(C190,2)=6,"Sa.","So"))))))</f>
        <v/>
      </c>
      <c r="C190" s="64">
        <f>C189+1</f>
        <v/>
      </c>
      <c r="D190" s="65" t="inlineStr">
        <is>
          <t>VA</t>
        </is>
      </c>
      <c r="E190" s="97" t="n">
        <v>5.25</v>
      </c>
      <c r="F190" s="2" t="inlineStr">
        <is>
          <t>h</t>
        </is>
      </c>
      <c r="G190" s="96" t="inlineStr">
        <is>
          <t>ja</t>
        </is>
      </c>
      <c r="H190" s="94" t="inlineStr">
        <is>
          <t>Beim Maßabgleich festgestellt, dass das geplante Gerätefach zu niedrig für die vorhandene Maschine ist.</t>
        </is>
      </c>
      <c r="I190" s="86" t="n"/>
      <c r="J190" s="86" t="n"/>
      <c r="K190" s="86" t="n"/>
      <c r="L190" s="86" t="n"/>
    </row>
    <row r="191" ht="51" customHeight="1">
      <c r="A191" s="62">
        <f>A190+1</f>
        <v/>
      </c>
      <c r="B191" s="63">
        <f>IF(WEEKDAY(C191,2)=1,"Mo",IF(WEEKDAY(C191,2)=2,"Di",IF(WEEKDAY(C191,2)=3,"Mi",IF(WEEKDAY(C191,2)=4,"Do.",IF(WEEKDAY(C191,2)=5,"Fr.",IF(WEEKDAY(C191,2)=6,"Sa.","So"))))))</f>
        <v/>
      </c>
      <c r="C191" s="64">
        <f>C190+1</f>
        <v/>
      </c>
      <c r="D191" s="65" t="inlineStr">
        <is>
          <t>A</t>
        </is>
      </c>
      <c r="E191" s="97" t="n">
        <v>9</v>
      </c>
      <c r="F191" s="2" t="inlineStr">
        <is>
          <t>h</t>
        </is>
      </c>
      <c r="G191" s="96" t="inlineStr">
        <is>
          <t>nein</t>
        </is>
      </c>
      <c r="H191" s="94" t="inlineStr">
        <is>
          <t>Als Variante B ein Aufsatzgestell entworfen, das über den vorhandenen Wagen fährt.</t>
        </is>
      </c>
      <c r="I191" s="86" t="n"/>
      <c r="J191" s="86" t="n"/>
      <c r="K191" s="86" t="n"/>
      <c r="L191" s="86" t="n"/>
    </row>
    <row r="192" ht="39" customHeight="1">
      <c r="A192" s="62">
        <f>A191+1</f>
        <v/>
      </c>
      <c r="B192" s="63">
        <f>IF(WEEKDAY(C192,2)=1,"Mo",IF(WEEKDAY(C192,2)=2,"Di",IF(WEEKDAY(C192,2)=3,"Mi",IF(WEEKDAY(C192,2)=4,"Do.",IF(WEEKDAY(C192,2)=5,"Fr.",IF(WEEKDAY(C192,2)=6,"Sa.","So"))))))</f>
        <v/>
      </c>
      <c r="C192" s="64">
        <f>C191+1</f>
        <v/>
      </c>
      <c r="D192" s="65" t="inlineStr">
        <is>
          <t>A</t>
        </is>
      </c>
      <c r="E192" s="97" t="n">
        <v>8.25</v>
      </c>
      <c r="F192" s="2" t="inlineStr">
        <is>
          <t>h</t>
        </is>
      </c>
      <c r="G192" s="96" t="inlineStr">
        <is>
          <t>nein</t>
        </is>
      </c>
      <c r="H192" s="94" t="inlineStr">
        <is>
          <t>Variante B überarbeitet, sodass die Gasflasche innerhalb der Aufstandsfläche steht.</t>
        </is>
      </c>
      <c r="I192" s="86" t="n"/>
      <c r="J192" s="86" t="n"/>
      <c r="K192" s="86" t="n"/>
      <c r="L192" s="86" t="n"/>
    </row>
    <row r="193">
      <c r="A193" s="62">
        <f>A192+1</f>
        <v/>
      </c>
      <c r="B193" s="63">
        <f>IF(WEEKDAY(C193,2)=1,"Mo",IF(WEEKDAY(C193,2)=2,"Di",IF(WEEKDAY(C193,2)=3,"Mi",IF(WEEKDAY(C193,2)=4,"Do.",IF(WEEKDAY(C193,2)=5,"Fr.",IF(WEEKDAY(C193,2)=6,"Sa.","So"))))))</f>
        <v/>
      </c>
      <c r="C193" s="64">
        <f>C192+1</f>
        <v/>
      </c>
      <c r="D193" s="65" t="n"/>
      <c r="E193" s="97" t="n"/>
      <c r="F193" s="2" t="inlineStr">
        <is>
          <t>h</t>
        </is>
      </c>
      <c r="G193" s="96" t="inlineStr">
        <is>
          <t>nein</t>
        </is>
      </c>
      <c r="H193" s="67" t="n"/>
      <c r="I193" s="86" t="n"/>
      <c r="J193" s="86" t="n"/>
      <c r="K193" s="86" t="n"/>
      <c r="L193" s="86" t="n"/>
    </row>
    <row r="194">
      <c r="A194" s="62">
        <f>A193+1</f>
        <v/>
      </c>
      <c r="B194" s="63">
        <f>IF(WEEKDAY(C194,2)=1,"Mo",IF(WEEKDAY(C194,2)=2,"Di",IF(WEEKDAY(C194,2)=3,"Mi",IF(WEEKDAY(C194,2)=4,"Do.",IF(WEEKDAY(C194,2)=5,"Fr.",IF(WEEKDAY(C194,2)=6,"Sa.","So"))))))</f>
        <v/>
      </c>
      <c r="C194" s="64">
        <f>C193+1</f>
        <v/>
      </c>
      <c r="D194" s="65" t="n"/>
      <c r="E194" s="97" t="n"/>
      <c r="F194" s="2" t="inlineStr">
        <is>
          <t>h</t>
        </is>
      </c>
      <c r="G194" s="96" t="inlineStr">
        <is>
          <t>nein</t>
        </is>
      </c>
      <c r="H194" s="67" t="n"/>
      <c r="I194" s="86" t="n"/>
      <c r="J194" s="86" t="n"/>
      <c r="K194" s="86" t="n"/>
      <c r="L194" s="86" t="n"/>
    </row>
    <row r="195" ht="39" customHeight="1">
      <c r="A195" s="62">
        <f>A194+1</f>
        <v/>
      </c>
      <c r="B195" s="63">
        <f>IF(WEEKDAY(C195,2)=1,"Mo",IF(WEEKDAY(C195,2)=2,"Di",IF(WEEKDAY(C195,2)=3,"Mi",IF(WEEKDAY(C195,2)=4,"Do.",IF(WEEKDAY(C195,2)=5,"Fr.",IF(WEEKDAY(C195,2)=6,"Sa.","So"))))))</f>
        <v/>
      </c>
      <c r="C195" s="64">
        <f>C194+1</f>
        <v/>
      </c>
      <c r="D195" s="65" t="inlineStr">
        <is>
          <t>A</t>
        </is>
      </c>
      <c r="E195" s="97" t="n">
        <v>9.25</v>
      </c>
      <c r="F195" s="2" t="inlineStr">
        <is>
          <t>h</t>
        </is>
      </c>
      <c r="G195" s="96" t="inlineStr">
        <is>
          <t>nein</t>
        </is>
      </c>
      <c r="H195" s="94" t="inlineStr">
        <is>
          <t>Vorzugsvariante festgelegt: modularer Aufbau in vier Etagen.</t>
        </is>
      </c>
      <c r="I195" s="86" t="n"/>
      <c r="J195" s="86" t="n"/>
      <c r="K195" s="86" t="n"/>
      <c r="L195" s="86" t="n"/>
    </row>
    <row r="196" ht="39" customHeight="1">
      <c r="A196" s="62">
        <f>A195+1</f>
        <v/>
      </c>
      <c r="B196" s="63">
        <f>IF(WEEKDAY(C196,2)=1,"Mo",IF(WEEKDAY(C196,2)=2,"Di",IF(WEEKDAY(C196,2)=3,"Mi",IF(WEEKDAY(C196,2)=4,"Do.",IF(WEEKDAY(C196,2)=5,"Fr.",IF(WEEKDAY(C196,2)=6,"Sa.","So"))))))</f>
        <v/>
      </c>
      <c r="C196" s="64">
        <f>C195+1</f>
        <v/>
      </c>
      <c r="D196" s="65" t="inlineStr">
        <is>
          <t>A</t>
        </is>
      </c>
      <c r="E196" s="97" t="n">
        <v>7.75</v>
      </c>
      <c r="F196" s="2" t="inlineStr">
        <is>
          <t>h</t>
        </is>
      </c>
      <c r="G196" s="96" t="inlineStr">
        <is>
          <t>nein</t>
        </is>
      </c>
      <c r="H196" s="94" t="inlineStr">
        <is>
          <t>Aufgabenstellung zum Zerspanarbeitsplatz erhalten und die Rahmenbedingungen aufgenommen (Drehen und Fräsen, drei Personen, eine Schicht).</t>
        </is>
      </c>
      <c r="I196" s="86" t="n"/>
      <c r="J196" s="86" t="n"/>
      <c r="K196" s="86" t="n"/>
      <c r="L196" s="86" t="n"/>
    </row>
    <row r="197" ht="39" customHeight="1">
      <c r="A197" s="62">
        <f>A196+1</f>
        <v/>
      </c>
      <c r="B197" s="63">
        <f>IF(WEEKDAY(C197,2)=1,"Mo",IF(WEEKDAY(C197,2)=2,"Di",IF(WEEKDAY(C197,2)=3,"Mi",IF(WEEKDAY(C197,2)=4,"Do.",IF(WEEKDAY(C197,2)=5,"Fr.",IF(WEEKDAY(C197,2)=6,"Sa.","So"))))))</f>
        <v/>
      </c>
      <c r="C197" s="64">
        <f>C196+1</f>
        <v/>
      </c>
      <c r="D197" s="65" t="inlineStr">
        <is>
          <t>VA</t>
        </is>
      </c>
      <c r="E197" s="97" t="n">
        <v>6.25</v>
      </c>
      <c r="F197" s="2" t="inlineStr">
        <is>
          <t>h</t>
        </is>
      </c>
      <c r="G197" s="96" t="inlineStr">
        <is>
          <t>ja</t>
        </is>
      </c>
      <c r="H197" s="94" t="inlineStr">
        <is>
          <t>Bestehenden Platz besichtigt, Maschinen und vorhandene Ausstattung fotografiert.</t>
        </is>
      </c>
      <c r="I197" s="86" t="n"/>
      <c r="J197" s="86" t="n"/>
      <c r="K197" s="86" t="n"/>
      <c r="L197" s="86" t="n"/>
    </row>
    <row r="198" ht="26.25" customHeight="1">
      <c r="A198" s="62">
        <f>A197+1</f>
        <v/>
      </c>
      <c r="B198" s="63">
        <f>IF(WEEKDAY(C198,2)=1,"Mo",IF(WEEKDAY(C198,2)=2,"Di",IF(WEEKDAY(C198,2)=3,"Mi",IF(WEEKDAY(C198,2)=4,"Do.",IF(WEEKDAY(C198,2)=5,"Fr.",IF(WEEKDAY(C198,2)=6,"Sa.","So"))))))</f>
        <v/>
      </c>
      <c r="C198" s="64">
        <f>C197+1</f>
        <v/>
      </c>
      <c r="D198" s="65" t="inlineStr">
        <is>
          <t>A</t>
        </is>
      </c>
      <c r="E198" s="97" t="n">
        <v>8.75</v>
      </c>
      <c r="F198" s="2" t="inlineStr">
        <is>
          <t>h</t>
        </is>
      </c>
      <c r="G198" s="96" t="inlineStr">
        <is>
          <t>nein</t>
        </is>
      </c>
      <c r="H198" s="94" t="inlineStr">
        <is>
          <t>Werkzeugbedarf für das Drehen zusammengestellt.</t>
        </is>
      </c>
      <c r="I198" s="86" t="n"/>
      <c r="J198" s="86" t="n"/>
      <c r="K198" s="86" t="n"/>
      <c r="L198" s="86" t="n"/>
    </row>
    <row r="199">
      <c r="A199" s="62">
        <f>A198+1</f>
        <v/>
      </c>
      <c r="B199" s="63">
        <f>IF(WEEKDAY(C199,2)=1,"Mo",IF(WEEKDAY(C199,2)=2,"Di",IF(WEEKDAY(C199,2)=3,"Mi",IF(WEEKDAY(C199,2)=4,"Do.",IF(WEEKDAY(C199,2)=5,"Fr.",IF(WEEKDAY(C199,2)=6,"Sa.","So"))))))</f>
        <v/>
      </c>
      <c r="C199" s="64">
        <f>C198+1</f>
        <v/>
      </c>
      <c r="D199" s="65" t="inlineStr">
        <is>
          <t>K</t>
        </is>
      </c>
      <c r="E199" s="97" t="n"/>
      <c r="F199" s="2" t="inlineStr">
        <is>
          <t>h</t>
        </is>
      </c>
      <c r="G199" s="96" t="inlineStr">
        <is>
          <t>nein</t>
        </is>
      </c>
      <c r="H199" s="98" t="inlineStr">
        <is>
          <t>Krank</t>
        </is>
      </c>
      <c r="I199" s="86" t="n"/>
      <c r="J199" s="86" t="n"/>
      <c r="K199" s="86" t="n"/>
      <c r="L199" s="86" t="n"/>
    </row>
    <row r="200">
      <c r="A200" s="62">
        <f>A199+1</f>
        <v/>
      </c>
      <c r="B200" s="63">
        <f>IF(WEEKDAY(C200,2)=1,"Mo",IF(WEEKDAY(C200,2)=2,"Di",IF(WEEKDAY(C200,2)=3,"Mi",IF(WEEKDAY(C200,2)=4,"Do.",IF(WEEKDAY(C200,2)=5,"Fr.",IF(WEEKDAY(C200,2)=6,"Sa.","So"))))))</f>
        <v/>
      </c>
      <c r="C200" s="64">
        <f>C199+1</f>
        <v/>
      </c>
      <c r="D200" s="65" t="n"/>
      <c r="E200" s="97" t="n"/>
      <c r="F200" s="2" t="inlineStr">
        <is>
          <t>h</t>
        </is>
      </c>
      <c r="G200" s="96" t="inlineStr">
        <is>
          <t>nein</t>
        </is>
      </c>
      <c r="H200" s="67" t="n"/>
      <c r="I200" s="86" t="n"/>
      <c r="J200" s="86" t="n"/>
      <c r="K200" s="86" t="n"/>
      <c r="L200" s="86" t="n"/>
    </row>
    <row r="201">
      <c r="A201" s="62">
        <f>A200+1</f>
        <v/>
      </c>
      <c r="B201" s="63">
        <f>IF(WEEKDAY(C201,2)=1,"Mo",IF(WEEKDAY(C201,2)=2,"Di",IF(WEEKDAY(C201,2)=3,"Mi",IF(WEEKDAY(C201,2)=4,"Do.",IF(WEEKDAY(C201,2)=5,"Fr.",IF(WEEKDAY(C201,2)=6,"Sa.","So"))))))</f>
        <v/>
      </c>
      <c r="C201" s="64">
        <f>C200+1</f>
        <v/>
      </c>
      <c r="D201" s="65" t="n"/>
      <c r="E201" s="97" t="n"/>
      <c r="F201" s="2" t="inlineStr">
        <is>
          <t>h</t>
        </is>
      </c>
      <c r="G201" s="96" t="inlineStr">
        <is>
          <t>nein</t>
        </is>
      </c>
      <c r="H201" s="67" t="n"/>
      <c r="I201" s="86" t="n"/>
      <c r="J201" s="86" t="n"/>
      <c r="K201" s="86" t="n"/>
      <c r="L201" s="86" t="n"/>
    </row>
    <row r="202" ht="39" customHeight="1">
      <c r="A202" s="62">
        <f>A201+1</f>
        <v/>
      </c>
      <c r="B202" s="63">
        <f>IF(WEEKDAY(C202,2)=1,"Mo",IF(WEEKDAY(C202,2)=2,"Di",IF(WEEKDAY(C202,2)=3,"Mi",IF(WEEKDAY(C202,2)=4,"Do.",IF(WEEKDAY(C202,2)=5,"Fr.",IF(WEEKDAY(C202,2)=6,"Sa.","So"))))))</f>
        <v/>
      </c>
      <c r="C202" s="64">
        <f>C201+1</f>
        <v/>
      </c>
      <c r="D202" s="65" t="inlineStr">
        <is>
          <t>A</t>
        </is>
      </c>
      <c r="E202" s="97" t="n">
        <v>9.5</v>
      </c>
      <c r="F202" s="2" t="inlineStr">
        <is>
          <t>h</t>
        </is>
      </c>
      <c r="G202" s="96" t="inlineStr">
        <is>
          <t>nein</t>
        </is>
      </c>
      <c r="H202" s="94" t="inlineStr">
        <is>
          <t>Werkzeugbedarf für das Fräsen sowie die Spann- und Aufspannmittel erfasst.</t>
        </is>
      </c>
      <c r="I202" s="86" t="n"/>
      <c r="J202" s="86" t="n"/>
      <c r="K202" s="86" t="n"/>
      <c r="L202" s="86" t="n"/>
    </row>
    <row r="203" ht="39" customHeight="1">
      <c r="A203" s="62">
        <f>A202+1</f>
        <v/>
      </c>
      <c r="B203" s="63">
        <f>IF(WEEKDAY(C203,2)=1,"Mo",IF(WEEKDAY(C203,2)=2,"Di",IF(WEEKDAY(C203,2)=3,"Mi",IF(WEEKDAY(C203,2)=4,"Do.",IF(WEEKDAY(C203,2)=5,"Fr.",IF(WEEKDAY(C203,2)=6,"Sa.","So"))))))</f>
        <v/>
      </c>
      <c r="C203" s="64">
        <f>C202+1</f>
        <v/>
      </c>
      <c r="D203" s="65" t="inlineStr">
        <is>
          <t>A</t>
        </is>
      </c>
      <c r="E203" s="97" t="n">
        <v>8</v>
      </c>
      <c r="F203" s="2" t="inlineStr">
        <is>
          <t>h</t>
        </is>
      </c>
      <c r="G203" s="96" t="inlineStr">
        <is>
          <t>nein</t>
        </is>
      </c>
      <c r="H203" s="94" t="inlineStr">
        <is>
          <t>Mess- und Prüfmittel sowie Nacharbeit und Hilfsmittel ergänzt. Damit sind alle sechs Gruppen erfasst.</t>
        </is>
      </c>
      <c r="I203" s="86" t="n"/>
      <c r="J203" s="86" t="n"/>
      <c r="K203" s="86" t="n"/>
      <c r="L203" s="86" t="n"/>
    </row>
    <row r="204" ht="26.25" customHeight="1">
      <c r="A204" s="62">
        <f>A203+1</f>
        <v/>
      </c>
      <c r="B204" s="63">
        <f>IF(WEEKDAY(C204,2)=1,"Mo",IF(WEEKDAY(C204,2)=2,"Di",IF(WEEKDAY(C204,2)=3,"Mi",IF(WEEKDAY(C204,2)=4,"Do.",IF(WEEKDAY(C204,2)=5,"Fr.",IF(WEEKDAY(C204,2)=6,"Sa.","So"))))))</f>
        <v/>
      </c>
      <c r="C204" s="64">
        <f>C203+1</f>
        <v/>
      </c>
      <c r="D204" s="65" t="inlineStr">
        <is>
          <t>A</t>
        </is>
      </c>
      <c r="E204" s="97" t="n">
        <v>8.58</v>
      </c>
      <c r="F204" s="2" t="inlineStr">
        <is>
          <t>h</t>
        </is>
      </c>
      <c r="G204" s="96" t="inlineStr">
        <is>
          <t>nein</t>
        </is>
      </c>
      <c r="H204" s="67" t="inlineStr">
        <is>
          <t>Mengen je Position festgelegt und begründet, welche Werkzeuge dreifach beschafft werden müssen.</t>
        </is>
      </c>
      <c r="I204" s="86" t="n"/>
      <c r="J204" s="86" t="n"/>
      <c r="K204" s="86" t="n"/>
      <c r="L204" s="86" t="n"/>
    </row>
    <row r="205" ht="26.25" customHeight="1">
      <c r="A205" s="62">
        <f>A204+1</f>
        <v/>
      </c>
      <c r="B205" s="63">
        <f>IF(WEEKDAY(C205,2)=1,"Mo",IF(WEEKDAY(C205,2)=2,"Di",IF(WEEKDAY(C205,2)=3,"Mi",IF(WEEKDAY(C205,2)=4,"Do.",IF(WEEKDAY(C205,2)=5,"Fr.",IF(WEEKDAY(C205,2)=6,"Sa.","So"))))))</f>
        <v/>
      </c>
      <c r="C205" s="64">
        <f>C204+1</f>
        <v/>
      </c>
      <c r="D205" s="65" t="inlineStr">
        <is>
          <t>A</t>
        </is>
      </c>
      <c r="E205" s="97" t="n">
        <v>9</v>
      </c>
      <c r="F205" s="2" t="inlineStr">
        <is>
          <t>h</t>
        </is>
      </c>
      <c r="G205" s="96" t="inlineStr">
        <is>
          <t>nein</t>
        </is>
      </c>
      <c r="H205" s="99" t="inlineStr">
        <is>
          <t>Preise recherchiert und die Werkzeugliste mit 35 Positionen bepreist.</t>
        </is>
      </c>
      <c r="I205" s="86" t="n"/>
      <c r="J205" s="86" t="n"/>
      <c r="K205" s="86" t="n"/>
      <c r="L205" s="86" t="n"/>
    </row>
    <row r="206" ht="26.25" customHeight="1">
      <c r="A206" s="62">
        <f>A205+1</f>
        <v/>
      </c>
      <c r="B206" s="63">
        <f>IF(WEEKDAY(C206,2)=1,"Mo",IF(WEEKDAY(C206,2)=2,"Di",IF(WEEKDAY(C206,2)=3,"Mi",IF(WEEKDAY(C206,2)=4,"Do.",IF(WEEKDAY(C206,2)=5,"Fr.",IF(WEEKDAY(C206,2)=6,"Sa.","So"))))))</f>
        <v/>
      </c>
      <c r="C206" s="64">
        <f>C205+1</f>
        <v/>
      </c>
      <c r="D206" s="65" t="inlineStr">
        <is>
          <t>A</t>
        </is>
      </c>
      <c r="E206" s="97" t="n">
        <v>8.25</v>
      </c>
      <c r="F206" s="2" t="inlineStr">
        <is>
          <t>h</t>
        </is>
      </c>
      <c r="G206" s="96" t="inlineStr">
        <is>
          <t>nein</t>
        </is>
      </c>
      <c r="H206" s="67" t="inlineStr">
        <is>
          <t>Kosten nach Kategorien ausgewertet und die teuersten Positionen herausgearbeitet.</t>
        </is>
      </c>
      <c r="I206" s="86" t="n"/>
      <c r="J206" s="86" t="n"/>
      <c r="K206" s="86" t="n"/>
      <c r="L206" s="86" t="n"/>
    </row>
    <row r="207">
      <c r="A207" s="62">
        <f>A206+1</f>
        <v/>
      </c>
      <c r="B207" s="63">
        <f>IF(WEEKDAY(C207,2)=1,"Mo",IF(WEEKDAY(C207,2)=2,"Di",IF(WEEKDAY(C207,2)=3,"Mi",IF(WEEKDAY(C207,2)=4,"Do.",IF(WEEKDAY(C207,2)=5,"Fr.",IF(WEEKDAY(C207,2)=6,"Sa.","So"))))))</f>
        <v/>
      </c>
      <c r="C207" s="64">
        <f>C206+1</f>
        <v/>
      </c>
      <c r="D207" s="65" t="n"/>
      <c r="E207" s="97" t="n"/>
      <c r="F207" s="2" t="inlineStr">
        <is>
          <t>h</t>
        </is>
      </c>
      <c r="G207" s="96" t="inlineStr">
        <is>
          <t>nein</t>
        </is>
      </c>
      <c r="H207" s="67" t="n"/>
      <c r="I207" s="86" t="n"/>
      <c r="J207" s="86" t="n"/>
      <c r="K207" s="86" t="n"/>
      <c r="L207" s="86" t="n"/>
    </row>
    <row r="208">
      <c r="A208" s="62">
        <f>A207+1</f>
        <v/>
      </c>
      <c r="B208" s="63">
        <f>IF(WEEKDAY(C208,2)=1,"Mo",IF(WEEKDAY(C208,2)=2,"Di",IF(WEEKDAY(C208,2)=3,"Mi",IF(WEEKDAY(C208,2)=4,"Do.",IF(WEEKDAY(C208,2)=5,"Fr.",IF(WEEKDAY(C208,2)=6,"Sa.","So"))))))</f>
        <v/>
      </c>
      <c r="C208" s="64">
        <f>C207+1</f>
        <v/>
      </c>
      <c r="D208" s="65" t="n"/>
      <c r="E208" s="97" t="n"/>
      <c r="F208" s="2" t="inlineStr">
        <is>
          <t>h</t>
        </is>
      </c>
      <c r="G208" s="96" t="inlineStr">
        <is>
          <t>nein</t>
        </is>
      </c>
      <c r="H208" s="67" t="n"/>
      <c r="I208" s="86" t="n"/>
      <c r="J208" s="86" t="n"/>
      <c r="K208" s="86" t="n"/>
      <c r="L208" s="86" t="n"/>
    </row>
    <row r="209" ht="26.25" customHeight="1">
      <c r="A209" s="62">
        <f>A208+1</f>
        <v/>
      </c>
      <c r="B209" s="63">
        <f>IF(WEEKDAY(C209,2)=1,"Mo",IF(WEEKDAY(C209,2)=2,"Di",IF(WEEKDAY(C209,2)=3,"Mi",IF(WEEKDAY(C209,2)=4,"Do.",IF(WEEKDAY(C209,2)=5,"Fr.",IF(WEEKDAY(C209,2)=6,"Sa.","So"))))))</f>
        <v/>
      </c>
      <c r="C209" s="64">
        <f>C208+1</f>
        <v/>
      </c>
      <c r="D209" s="65" t="inlineStr">
        <is>
          <t>A</t>
        </is>
      </c>
      <c r="E209" s="97" t="n">
        <v>7.5</v>
      </c>
      <c r="F209" s="2" t="inlineStr">
        <is>
          <t>h</t>
        </is>
      </c>
      <c r="G209" s="96" t="inlineStr">
        <is>
          <t>nein</t>
        </is>
      </c>
      <c r="H209" s="67" t="inlineStr">
        <is>
          <t>5S-Ordnung ausgearbeitet und die Werkzeuge den Zonen A, B und C zugeordnet.</t>
        </is>
      </c>
      <c r="I209" s="86" t="n"/>
      <c r="J209" s="86" t="n"/>
      <c r="K209" s="86" t="n"/>
      <c r="L209" s="86" t="n"/>
    </row>
    <row r="210" ht="39" customHeight="1">
      <c r="A210" s="62">
        <f>A209+1</f>
        <v/>
      </c>
      <c r="B210" s="63">
        <f>IF(WEEKDAY(C210,2)=1,"Mo",IF(WEEKDAY(C210,2)=2,"Di",IF(WEEKDAY(C210,2)=3,"Mi",IF(WEEKDAY(C210,2)=4,"Do.",IF(WEEKDAY(C210,2)=5,"Fr.",IF(WEEKDAY(C210,2)=6,"Sa.","So"))))))</f>
        <v/>
      </c>
      <c r="C210" s="64">
        <f>C209+1</f>
        <v/>
      </c>
      <c r="D210" s="65" t="inlineStr">
        <is>
          <t>A</t>
        </is>
      </c>
      <c r="E210" s="97" t="n">
        <v>8.75</v>
      </c>
      <c r="F210" s="2" t="inlineStr">
        <is>
          <t>h</t>
        </is>
      </c>
      <c r="G210" s="96" t="inlineStr">
        <is>
          <t>nein</t>
        </is>
      </c>
      <c r="H210" s="67" t="inlineStr">
        <is>
          <t>Grundmaße der Werkbank festgelegt und mit den Ergonomienormen abgeglichen.</t>
        </is>
      </c>
      <c r="I210" s="86" t="n"/>
      <c r="J210" s="86" t="n"/>
      <c r="K210" s="86" t="n"/>
      <c r="L210" s="86" t="n"/>
    </row>
    <row r="211">
      <c r="A211" s="62">
        <f>A210+1</f>
        <v/>
      </c>
      <c r="B211" s="63">
        <f>IF(WEEKDAY(C211,2)=1,"Mo",IF(WEEKDAY(C211,2)=2,"Di",IF(WEEKDAY(C211,2)=3,"Mi",IF(WEEKDAY(C211,2)=4,"Do.",IF(WEEKDAY(C211,2)=5,"Fr.",IF(WEEKDAY(C211,2)=6,"Sa.","So"))))))</f>
        <v/>
      </c>
      <c r="C211" s="64">
        <f>C210+1</f>
        <v/>
      </c>
      <c r="D211" s="65" t="inlineStr">
        <is>
          <t>A</t>
        </is>
      </c>
      <c r="E211" s="97" t="n">
        <v>9.25</v>
      </c>
      <c r="F211" s="2" t="inlineStr">
        <is>
          <t>h</t>
        </is>
      </c>
      <c r="G211" s="96" t="inlineStr">
        <is>
          <t>nein</t>
        </is>
      </c>
      <c r="H211" s="67" t="inlineStr">
        <is>
          <t>Vier Bauvarianten skizziert und in 3D dargestellt: Aluprofil, Stahl-Standard, Systemmodule und Eigenbau.</t>
        </is>
      </c>
      <c r="I211" s="86" t="n"/>
      <c r="J211" s="86" t="n"/>
      <c r="K211" s="86" t="n"/>
      <c r="L211" s="86" t="n"/>
    </row>
    <row r="212" ht="26.25" customHeight="1">
      <c r="A212" s="62">
        <f>A211+1</f>
        <v/>
      </c>
      <c r="B212" s="63">
        <f>IF(WEEKDAY(C212,2)=1,"Mo",IF(WEEKDAY(C212,2)=2,"Di",IF(WEEKDAY(C212,2)=3,"Mi",IF(WEEKDAY(C212,2)=4,"Do.",IF(WEEKDAY(C212,2)=5,"Fr.",IF(WEEKDAY(C212,2)=6,"Sa.","So"))))))</f>
        <v/>
      </c>
      <c r="C212" s="64">
        <f>C211+1</f>
        <v/>
      </c>
      <c r="D212" s="65" t="inlineStr">
        <is>
          <t>A</t>
        </is>
      </c>
      <c r="E212" s="97" t="n">
        <v>8.5</v>
      </c>
      <c r="F212" s="2" t="inlineStr">
        <is>
          <t>h</t>
        </is>
      </c>
      <c r="G212" s="96" t="inlineStr">
        <is>
          <t>nein</t>
        </is>
      </c>
      <c r="H212" s="67" t="inlineStr">
        <is>
          <t>Vier Layout-Konzepte entwickelt und die Vor- und Nachteile gegenübergestellt.</t>
        </is>
      </c>
      <c r="I212" s="86" t="n"/>
      <c r="J212" s="86" t="n"/>
      <c r="K212" s="86" t="n"/>
      <c r="L212" s="86" t="n"/>
    </row>
    <row r="213">
      <c r="A213" s="62">
        <f>A212+1</f>
        <v/>
      </c>
      <c r="B213" s="63">
        <f>IF(WEEKDAY(C213,2)=1,"Mo",IF(WEEKDAY(C213,2)=2,"Di",IF(WEEKDAY(C213,2)=3,"Mi",IF(WEEKDAY(C213,2)=4,"Do.",IF(WEEKDAY(C213,2)=5,"Fr.",IF(WEEKDAY(C213,2)=6,"Sa.","So"))))))</f>
        <v/>
      </c>
      <c r="C213" s="64">
        <f>C212+1</f>
        <v/>
      </c>
      <c r="D213" s="65" t="inlineStr">
        <is>
          <t>A</t>
        </is>
      </c>
      <c r="E213" s="97" t="n">
        <v>8.92</v>
      </c>
      <c r="F213" s="2" t="inlineStr">
        <is>
          <t>h</t>
        </is>
      </c>
      <c r="G213" s="96" t="inlineStr">
        <is>
          <t>nein</t>
        </is>
      </c>
      <c r="H213" s="67" t="inlineStr">
        <is>
          <t>Werkstatt-Grundriss maßstäblich gezeichnet und die Freiräume an den Maschinen geprüft.</t>
        </is>
      </c>
      <c r="I213" s="86" t="n"/>
      <c r="J213" s="86" t="n"/>
      <c r="K213" s="86" t="n"/>
      <c r="L213" s="86" t="n"/>
    </row>
    <row r="214">
      <c r="A214" s="62">
        <f>A213+1</f>
        <v/>
      </c>
      <c r="B214" s="63">
        <f>IF(WEEKDAY(C214,2)=1,"Mo",IF(WEEKDAY(C214,2)=2,"Di",IF(WEEKDAY(C214,2)=3,"Mi",IF(WEEKDAY(C214,2)=4,"Do.",IF(WEEKDAY(C214,2)=5,"Fr.",IF(WEEKDAY(C214,2)=6,"Sa.","So"))))))</f>
        <v/>
      </c>
      <c r="C214" s="64">
        <f>C213+1</f>
        <v/>
      </c>
      <c r="D214" s="65" t="n"/>
      <c r="E214" s="97" t="n"/>
      <c r="F214" s="2" t="inlineStr">
        <is>
          <t>h</t>
        </is>
      </c>
      <c r="G214" s="96" t="inlineStr">
        <is>
          <t>nein</t>
        </is>
      </c>
      <c r="H214" s="67" t="n"/>
      <c r="I214" s="86" t="n"/>
      <c r="J214" s="86" t="n"/>
      <c r="K214" s="86" t="n"/>
      <c r="L214" s="86" t="n"/>
    </row>
    <row r="215" ht="14.25" customHeight="1" thickBot="1">
      <c r="A215" s="69">
        <f>A214+1</f>
        <v/>
      </c>
      <c r="B215" s="70">
        <f>IF(WEEKDAY(C215,2)=1,"Mo",IF(WEEKDAY(C215,2)=2,"Di",IF(WEEKDAY(C215,2)=3,"Mi",IF(WEEKDAY(C215,2)=4,"Do.",IF(WEEKDAY(C215,2)=5,"Fr.",IF(WEEKDAY(C215,2)=6,"Sa.","So"))))))</f>
        <v/>
      </c>
      <c r="C215" s="71">
        <f>C214+1</f>
        <v/>
      </c>
      <c r="D215" s="72" t="n"/>
      <c r="E215" s="73" t="n"/>
      <c r="F215" s="11" t="inlineStr">
        <is>
          <t>h</t>
        </is>
      </c>
      <c r="G215" s="13" t="inlineStr">
        <is>
          <t>nein</t>
        </is>
      </c>
      <c r="H215" s="74" t="n"/>
      <c r="I215" s="86" t="n"/>
      <c r="J215" s="86" t="n"/>
      <c r="K215" s="86" t="n"/>
      <c r="L215" s="86" t="n"/>
      <c r="N215" s="49" t="n"/>
      <c r="O215" s="50" t="inlineStr">
        <is>
          <t xml:space="preserve">Hier sollte der Seitenumbruch Seite 5 auf Seite 6 sein - Bitte nutzen Sie die Seitenumbruchsansicht (Reiter "Ansicht &gt; Umbruchsvorschau) </t>
        </is>
      </c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</row>
    <row r="216">
      <c r="A216" s="88" t="n"/>
      <c r="B216" s="88" t="n"/>
      <c r="C216" s="88" t="n"/>
      <c r="D216" s="88" t="n"/>
      <c r="E216" s="88" t="n"/>
      <c r="F216" s="37" t="n"/>
      <c r="G216" s="37" t="n"/>
      <c r="H216" s="88" t="n"/>
      <c r="I216" s="88" t="n"/>
      <c r="J216" s="88" t="n"/>
      <c r="K216" s="88" t="n"/>
      <c r="L216" s="88" t="n"/>
      <c r="N216" s="48" t="n"/>
      <c r="O216" s="1" t="inlineStr">
        <is>
          <t>Sie könne mit der Maus den Umbruch verschieben.</t>
        </is>
      </c>
    </row>
    <row r="217">
      <c r="A217" s="110">
        <f>Student_Name</f>
        <v/>
      </c>
      <c r="B217" s="116" t="n"/>
      <c r="C217" s="116" t="n"/>
      <c r="D217" s="116" t="n"/>
      <c r="E217" s="116" t="n"/>
      <c r="F217" s="116" t="n"/>
      <c r="G217" s="100" t="n"/>
      <c r="H217" s="110">
        <f>Ausbildungsbetrieb_Unternehmen</f>
        <v/>
      </c>
      <c r="I217" s="87" t="n"/>
      <c r="J217" s="87" t="n"/>
      <c r="K217" s="87" t="n"/>
      <c r="L217" s="87" t="n"/>
    </row>
    <row r="218" ht="7.5" customHeight="1">
      <c r="A218" s="76" t="inlineStr">
        <is>
          <t>Name</t>
        </is>
      </c>
      <c r="B218" s="76" t="n"/>
      <c r="C218" s="76" t="n"/>
      <c r="D218" s="76" t="n"/>
      <c r="E218" s="76" t="n"/>
      <c r="F218" s="28" t="n"/>
      <c r="G218" s="28" t="n"/>
      <c r="H218" s="76" t="inlineStr">
        <is>
          <t>Ausbildungsbetrieb</t>
        </is>
      </c>
      <c r="I218" s="76" t="n"/>
      <c r="J218" s="76" t="n"/>
      <c r="K218" s="76" t="n"/>
      <c r="L218" s="76" t="n"/>
    </row>
    <row r="219" ht="7.5" customHeight="1">
      <c r="A219" s="87" t="n"/>
      <c r="B219" s="87" t="n"/>
      <c r="C219" s="87" t="n"/>
      <c r="D219" s="87" t="n"/>
      <c r="E219" s="87" t="n"/>
      <c r="F219" s="100" t="n"/>
      <c r="G219" s="100" t="n"/>
      <c r="H219" s="87" t="n"/>
      <c r="I219" s="87" t="n"/>
      <c r="J219" s="87" t="n"/>
      <c r="K219" s="87" t="n"/>
      <c r="L219" s="87" t="n"/>
    </row>
    <row r="220">
      <c r="A220" s="110">
        <f>Student_Vorname</f>
        <v/>
      </c>
      <c r="B220" s="116" t="n"/>
      <c r="C220" s="116" t="n"/>
      <c r="D220" s="116" t="n"/>
      <c r="E220" s="116" t="n"/>
      <c r="F220" s="116" t="n"/>
      <c r="G220" s="100" t="n"/>
      <c r="H220" s="110">
        <f>CONCATENATE(Ausbildungsbetrieb_Vorname, " ", Ausbildungsbetrieb_Name)</f>
        <v/>
      </c>
      <c r="I220" s="87" t="n"/>
      <c r="J220" s="87" t="n"/>
      <c r="K220" s="87" t="n"/>
      <c r="L220" s="87" t="n"/>
    </row>
    <row r="221" ht="7.5" customHeight="1">
      <c r="A221" s="76" t="inlineStr">
        <is>
          <t>Vorname</t>
        </is>
      </c>
      <c r="B221" s="76" t="n"/>
      <c r="C221" s="76" t="n"/>
      <c r="D221" s="76" t="n"/>
      <c r="E221" s="76" t="n"/>
      <c r="F221" s="28" t="n"/>
      <c r="G221" s="28" t="n"/>
      <c r="H221" s="76" t="inlineStr">
        <is>
          <t>Ansprechpartner im Betrieb</t>
        </is>
      </c>
      <c r="I221" s="76" t="n"/>
      <c r="J221" s="76" t="n"/>
      <c r="K221" s="76" t="n"/>
      <c r="L221" s="76" t="n"/>
    </row>
    <row r="222" ht="7.5" customHeight="1">
      <c r="A222" s="87" t="n"/>
      <c r="B222" s="87" t="n"/>
      <c r="C222" s="87" t="n"/>
      <c r="D222" s="87" t="n"/>
      <c r="E222" s="87" t="n"/>
      <c r="F222" s="100" t="n"/>
      <c r="G222" s="100" t="n"/>
      <c r="H222" s="87" t="n"/>
      <c r="I222" s="87" t="n"/>
      <c r="J222" s="87" t="n"/>
      <c r="K222" s="87" t="n"/>
      <c r="L222" s="87" t="n"/>
    </row>
    <row r="223">
      <c r="A223" s="110">
        <f>Student_Studiengruppe</f>
        <v/>
      </c>
      <c r="B223" s="116" t="n"/>
      <c r="C223" s="116" t="n"/>
      <c r="D223" s="116" t="n"/>
      <c r="E223" s="116" t="n"/>
      <c r="F223" s="116" t="n"/>
      <c r="G223" s="100" t="n"/>
      <c r="H223" s="110">
        <f>Ausbildungsbetrieb_Email</f>
        <v/>
      </c>
      <c r="I223" s="87" t="n"/>
      <c r="J223" s="87" t="n"/>
      <c r="K223" s="87" t="n"/>
      <c r="L223" s="87" t="n"/>
    </row>
    <row r="224" ht="7.5" customHeight="1">
      <c r="A224" s="76" t="inlineStr">
        <is>
          <t>Studiengruppe</t>
        </is>
      </c>
      <c r="B224" s="76" t="n"/>
      <c r="C224" s="76" t="n"/>
      <c r="D224" s="76" t="n"/>
      <c r="E224" s="76" t="n"/>
      <c r="F224" s="28" t="n"/>
      <c r="G224" s="28" t="n"/>
      <c r="H224" s="76" t="inlineStr">
        <is>
          <t>Email Ansprechpartner</t>
        </is>
      </c>
      <c r="I224" s="76" t="n"/>
      <c r="J224" s="76" t="n"/>
      <c r="K224" s="76" t="n"/>
      <c r="L224" s="76" t="n"/>
    </row>
    <row r="225" ht="7.5" customHeight="1">
      <c r="A225" s="87" t="n"/>
      <c r="B225" s="87" t="n"/>
      <c r="C225" s="87" t="n"/>
      <c r="D225" s="87" t="n"/>
      <c r="E225" s="87" t="n"/>
      <c r="F225" s="100" t="n"/>
      <c r="G225" s="100" t="n"/>
      <c r="H225" s="87" t="n"/>
      <c r="I225" s="87" t="n"/>
      <c r="J225" s="87" t="n"/>
      <c r="K225" s="87" t="n"/>
      <c r="L225" s="87" t="n"/>
    </row>
    <row r="226">
      <c r="A226" s="110">
        <f>Student_Matrikelnummer</f>
        <v/>
      </c>
      <c r="B226" s="116" t="n"/>
      <c r="C226" s="116" t="n"/>
      <c r="D226" s="116" t="n"/>
      <c r="E226" s="116" t="n"/>
      <c r="F226" s="116" t="n"/>
      <c r="G226" s="100" t="n"/>
      <c r="H226" s="110">
        <f>Ausbildungsbetrieb_Telefon</f>
        <v/>
      </c>
      <c r="I226" s="87" t="n"/>
      <c r="J226" s="87" t="n"/>
      <c r="K226" s="87" t="n"/>
      <c r="L226" s="87" t="n"/>
    </row>
    <row r="227" ht="7.5" customHeight="1">
      <c r="A227" s="76" t="inlineStr">
        <is>
          <t>Matrikelnummer</t>
        </is>
      </c>
      <c r="B227" s="76" t="n"/>
      <c r="C227" s="76" t="n"/>
      <c r="D227" s="76" t="n"/>
      <c r="E227" s="76" t="n"/>
      <c r="F227" s="28" t="n"/>
      <c r="G227" s="28" t="n"/>
      <c r="H227" s="76" t="inlineStr">
        <is>
          <t>Telefon Ansprechpartner</t>
        </is>
      </c>
      <c r="I227" s="76" t="n"/>
      <c r="J227" s="76" t="n"/>
      <c r="K227" s="76" t="n"/>
      <c r="L227" s="76" t="n"/>
    </row>
    <row r="228" ht="7.5" customHeight="1" thickBot="1">
      <c r="A228" s="87" t="n"/>
      <c r="B228" s="87" t="n"/>
      <c r="C228" s="87" t="n"/>
      <c r="D228" s="87" t="n"/>
      <c r="E228" s="87" t="n"/>
      <c r="F228" s="100" t="n"/>
      <c r="G228" s="100" t="n"/>
      <c r="H228" s="87" t="n"/>
      <c r="I228" s="87" t="n"/>
      <c r="J228" s="87" t="n"/>
      <c r="K228" s="87" t="n"/>
      <c r="L228" s="87" t="n"/>
    </row>
    <row r="229">
      <c r="A229" s="78" t="n"/>
      <c r="B229" s="79" t="n"/>
      <c r="C229" s="79" t="n"/>
      <c r="D229" s="79" t="n"/>
      <c r="E229" s="79" t="inlineStr">
        <is>
          <t>Typ</t>
        </is>
      </c>
      <c r="F229" s="15" t="n"/>
      <c r="G229" s="15" t="n"/>
      <c r="H229" s="80" t="inlineStr">
        <is>
          <t>Vorlesung besucht?</t>
        </is>
      </c>
      <c r="I229" s="88" t="n"/>
      <c r="J229" s="88" t="n"/>
      <c r="K229" s="88" t="n"/>
      <c r="L229" s="88" t="n"/>
    </row>
    <row r="230" ht="45" customHeight="1" thickBot="1">
      <c r="A230" s="111" t="inlineStr">
        <is>
          <t>Tag</t>
        </is>
      </c>
      <c r="B230" s="117" t="n"/>
      <c r="C230" s="81" t="inlineStr">
        <is>
          <t>Datum</t>
        </is>
      </c>
      <c r="D230" s="81" t="n"/>
      <c r="E230" s="113" t="inlineStr">
        <is>
          <t>Anwesen-heitszeit im Betrieb</t>
        </is>
      </c>
      <c r="F230" s="117" t="n"/>
      <c r="G230" s="109" t="n"/>
      <c r="H230" s="82" t="inlineStr">
        <is>
          <t>genaue Angaben zu den Tätigkeiten</t>
        </is>
      </c>
      <c r="I230" s="88" t="n"/>
      <c r="J230" s="88" t="n"/>
      <c r="K230" s="88" t="n"/>
      <c r="L230" s="88" t="n"/>
    </row>
    <row r="231">
      <c r="A231" s="56">
        <f>A215+1</f>
        <v/>
      </c>
      <c r="B231" s="57">
        <f>IF(WEEKDAY(C231,2)=1,"Mo",IF(WEEKDAY(C231,2)=2,"Di",IF(WEEKDAY(C231,2)=3,"Mi",IF(WEEKDAY(C231,2)=4,"Do.",IF(WEEKDAY(C231,2)=5,"Fr.",IF(WEEKDAY(C231,2)=6,"Sa.","So"))))))</f>
        <v/>
      </c>
      <c r="C231" s="58">
        <f>C215+1</f>
        <v/>
      </c>
      <c r="D231" s="59" t="inlineStr">
        <is>
          <t>A</t>
        </is>
      </c>
      <c r="E231" s="60" t="n">
        <v>9</v>
      </c>
      <c r="F231" s="6" t="inlineStr">
        <is>
          <t>h</t>
        </is>
      </c>
      <c r="G231" s="8" t="inlineStr">
        <is>
          <t>nein</t>
        </is>
      </c>
      <c r="H231" s="61" t="inlineStr">
        <is>
          <t>Nutzwertanalyse aufgestellt: sieben Kriterien festgelegt und gewichtet.</t>
        </is>
      </c>
      <c r="I231" s="86" t="n"/>
      <c r="J231" s="86" t="n"/>
      <c r="K231" s="86" t="n"/>
      <c r="L231" s="86" t="n"/>
    </row>
    <row r="232">
      <c r="A232" s="62">
        <f>A231+1</f>
        <v/>
      </c>
      <c r="B232" s="63">
        <f>IF(WEEKDAY(C232,2)=1,"Mo",IF(WEEKDAY(C232,2)=2,"Di",IF(WEEKDAY(C232,2)=3,"Mi",IF(WEEKDAY(C232,2)=4,"Do.",IF(WEEKDAY(C232,2)=5,"Fr.",IF(WEEKDAY(C232,2)=6,"Sa.","So"))))))</f>
        <v/>
      </c>
      <c r="C232" s="64">
        <f>C231+1</f>
        <v/>
      </c>
      <c r="D232" s="65" t="inlineStr">
        <is>
          <t>A</t>
        </is>
      </c>
      <c r="E232" s="97" t="n">
        <v>7.75</v>
      </c>
      <c r="F232" s="2" t="inlineStr">
        <is>
          <t>h</t>
        </is>
      </c>
      <c r="G232" s="96" t="inlineStr">
        <is>
          <t>nein</t>
        </is>
      </c>
      <c r="H232" s="67" t="inlineStr">
        <is>
          <t>Aufgabenstellung zum Rostschutz für die Schienenprofile erhalten. Lagerbedingungen der Profile im Betrieb aufgenommen und fotografiert.</t>
        </is>
      </c>
      <c r="I232" s="86" t="n"/>
      <c r="J232" s="86" t="n"/>
      <c r="K232" s="86" t="n"/>
      <c r="L232" s="86" t="n"/>
    </row>
    <row r="233">
      <c r="A233" s="62">
        <f>A232+1</f>
        <v/>
      </c>
      <c r="B233" s="63">
        <f>IF(WEEKDAY(C233,2)=1,"Mo",IF(WEEKDAY(C233,2)=2,"Di",IF(WEEKDAY(C233,2)=3,"Mi",IF(WEEKDAY(C233,2)=4,"Do.",IF(WEEKDAY(C233,2)=5,"Fr.",IF(WEEKDAY(C233,2)=6,"Sa.","So"))))))</f>
        <v/>
      </c>
      <c r="C233" s="64">
        <f>C232+1</f>
        <v/>
      </c>
      <c r="D233" s="65" t="inlineStr">
        <is>
          <t>A</t>
        </is>
      </c>
      <c r="E233" s="97" t="n">
        <v>8.25</v>
      </c>
      <c r="F233" s="2" t="inlineStr">
        <is>
          <t>h</t>
        </is>
      </c>
      <c r="G233" s="96" t="inlineStr">
        <is>
          <t>nein</t>
        </is>
      </c>
      <c r="H233" s="67" t="inlineStr">
        <is>
          <t>Bestehende Rostschäden begutachtet und die Ursachen mit den Mitarbeitern besprochen (Feuchtigkeit, Kondenswasser, Lagerdauer).</t>
        </is>
      </c>
      <c r="I233" s="86" t="n"/>
      <c r="J233" s="86" t="n"/>
      <c r="K233" s="86" t="n"/>
      <c r="L233" s="86" t="n"/>
    </row>
    <row r="234">
      <c r="A234" s="62">
        <f>A233+1</f>
        <v/>
      </c>
      <c r="B234" s="63">
        <f>IF(WEEKDAY(C234,2)=1,"Mo",IF(WEEKDAY(C234,2)=2,"Di",IF(WEEKDAY(C234,2)=3,"Mi",IF(WEEKDAY(C234,2)=4,"Do.",IF(WEEKDAY(C234,2)=5,"Fr.",IF(WEEKDAY(C234,2)=6,"Sa.","So"))))))</f>
        <v/>
      </c>
      <c r="C234" s="64">
        <f>C233+1</f>
        <v/>
      </c>
      <c r="D234" s="65" t="inlineStr">
        <is>
          <t>A</t>
        </is>
      </c>
      <c r="E234" s="97" t="n">
        <v>9.5</v>
      </c>
      <c r="F234" s="2" t="inlineStr">
        <is>
          <t>h</t>
        </is>
      </c>
      <c r="G234" s="96" t="inlineStr">
        <is>
          <t>nein</t>
        </is>
      </c>
      <c r="H234" s="67" t="inlineStr">
        <is>
          <t>Recherche zu Korrosionsschutzverfahren durchgeführt: Ölen, Wachsen, VCI-Folie und trockene Lagerung verglichen.</t>
        </is>
      </c>
      <c r="I234" s="86" t="n"/>
      <c r="J234" s="86" t="n"/>
      <c r="K234" s="86" t="n"/>
      <c r="L234" s="86" t="n"/>
    </row>
    <row r="235">
      <c r="A235" s="62">
        <f>A234+1</f>
        <v/>
      </c>
      <c r="B235" s="63">
        <f>IF(WEEKDAY(C235,2)=1,"Mo",IF(WEEKDAY(C235,2)=2,"Di",IF(WEEKDAY(C235,2)=3,"Mi",IF(WEEKDAY(C235,2)=4,"Do.",IF(WEEKDAY(C235,2)=5,"Fr.",IF(WEEKDAY(C235,2)=6,"Sa.","So"))))))</f>
        <v/>
      </c>
      <c r="C235" s="64">
        <f>C234+1</f>
        <v/>
      </c>
      <c r="D235" s="65" t="inlineStr">
        <is>
          <t>A</t>
        </is>
      </c>
      <c r="E235" s="97" t="n">
        <v>8</v>
      </c>
      <c r="F235" s="2" t="inlineStr">
        <is>
          <t>h</t>
        </is>
      </c>
      <c r="G235" s="96" t="inlineStr">
        <is>
          <t>nein</t>
        </is>
      </c>
      <c r="H235" s="67" t="inlineStr">
        <is>
          <t>Verfahren gegenübergestellt und nach Wirksamkeit, Aufwand und Kosten bewertet.</t>
        </is>
      </c>
      <c r="I235" s="86" t="n"/>
      <c r="J235" s="86" t="n"/>
      <c r="K235" s="86" t="n"/>
      <c r="L235" s="86" t="n"/>
    </row>
    <row r="236">
      <c r="A236" s="62">
        <f>A235+1</f>
        <v/>
      </c>
      <c r="B236" s="63">
        <f>IF(WEEKDAY(C236,2)=1,"Mo",IF(WEEKDAY(C236,2)=2,"Di",IF(WEEKDAY(C236,2)=3,"Mi",IF(WEEKDAY(C236,2)=4,"Do.",IF(WEEKDAY(C236,2)=5,"Fr.",IF(WEEKDAY(C236,2)=6,"Sa.","So"))))))</f>
        <v/>
      </c>
      <c r="C236" s="64">
        <f>C235+1</f>
        <v/>
      </c>
      <c r="D236" s="65" t="n"/>
      <c r="E236" s="97" t="n"/>
      <c r="F236" s="2" t="inlineStr">
        <is>
          <t>h</t>
        </is>
      </c>
      <c r="G236" s="96" t="inlineStr">
        <is>
          <t>nein</t>
        </is>
      </c>
      <c r="H236" s="67" t="n"/>
      <c r="I236" s="86" t="n"/>
      <c r="J236" s="86" t="n"/>
      <c r="K236" s="86" t="n"/>
      <c r="L236" s="86" t="n"/>
    </row>
    <row r="237">
      <c r="A237" s="62">
        <f>A236+1</f>
        <v/>
      </c>
      <c r="B237" s="63">
        <f>IF(WEEKDAY(C237,2)=1,"Mo",IF(WEEKDAY(C237,2)=2,"Di",IF(WEEKDAY(C237,2)=3,"Mi",IF(WEEKDAY(C237,2)=4,"Do.",IF(WEEKDAY(C237,2)=5,"Fr.",IF(WEEKDAY(C237,2)=6,"Sa.","So"))))))</f>
        <v/>
      </c>
      <c r="C237" s="64">
        <f>C236+1</f>
        <v/>
      </c>
      <c r="D237" s="65" t="n"/>
      <c r="E237" s="97" t="n"/>
      <c r="F237" s="2" t="inlineStr">
        <is>
          <t>h</t>
        </is>
      </c>
      <c r="G237" s="96" t="inlineStr">
        <is>
          <t>nein</t>
        </is>
      </c>
      <c r="H237" s="67" t="n"/>
      <c r="I237" s="86" t="n"/>
      <c r="J237" s="86" t="n"/>
      <c r="K237" s="86" t="n"/>
      <c r="L237" s="86" t="n"/>
    </row>
    <row r="238">
      <c r="A238" s="62">
        <f>A237+1</f>
        <v/>
      </c>
      <c r="B238" s="63">
        <f>IF(WEEKDAY(C238,2)=1,"Mo",IF(WEEKDAY(C238,2)=2,"Di",IF(WEEKDAY(C238,2)=3,"Mi",IF(WEEKDAY(C238,2)=4,"Do.",IF(WEEKDAY(C238,2)=5,"Fr.",IF(WEEKDAY(C238,2)=6,"Sa.","So"))))))</f>
        <v/>
      </c>
      <c r="C238" s="64">
        <f>C237+1</f>
        <v/>
      </c>
      <c r="D238" s="65" t="inlineStr">
        <is>
          <t>A</t>
        </is>
      </c>
      <c r="E238" s="97" t="n">
        <v>8.75</v>
      </c>
      <c r="F238" s="2" t="inlineStr">
        <is>
          <t>h</t>
        </is>
      </c>
      <c r="G238" s="96" t="inlineStr">
        <is>
          <t>nein</t>
        </is>
      </c>
      <c r="H238" s="67" t="inlineStr">
        <is>
          <t>Konzept für eine geschlossene Lagerbox mit VCI-Schutz entworfen und die benötigten Maße aufgenommen.</t>
        </is>
      </c>
      <c r="I238" s="86" t="n"/>
      <c r="J238" s="86" t="n"/>
      <c r="K238" s="86" t="n"/>
      <c r="L238" s="86" t="n"/>
    </row>
    <row r="239">
      <c r="A239" s="62">
        <f>A238+1</f>
        <v/>
      </c>
      <c r="B239" s="63">
        <f>IF(WEEKDAY(C239,2)=1,"Mo",IF(WEEKDAY(C239,2)=2,"Di",IF(WEEKDAY(C239,2)=3,"Mi",IF(WEEKDAY(C239,2)=4,"Do.",IF(WEEKDAY(C239,2)=5,"Fr.",IF(WEEKDAY(C239,2)=6,"Sa.","So"))))))</f>
        <v/>
      </c>
      <c r="C239" s="64">
        <f>C238+1</f>
        <v/>
      </c>
      <c r="D239" s="65" t="inlineStr">
        <is>
          <t>A</t>
        </is>
      </c>
      <c r="E239" s="97" t="n">
        <v>9.25</v>
      </c>
      <c r="F239" s="2" t="inlineStr">
        <is>
          <t>h</t>
        </is>
      </c>
      <c r="G239" s="96" t="inlineStr">
        <is>
          <t>nein</t>
        </is>
      </c>
      <c r="H239" s="67" t="inlineStr">
        <is>
          <t>Lagerbox im CAD konstruiert und die Aufteilung für die verschiedenen Profillängen festgelegt.</t>
        </is>
      </c>
      <c r="I239" s="86" t="n"/>
      <c r="J239" s="86" t="n"/>
      <c r="K239" s="86" t="n"/>
      <c r="L239" s="86" t="n"/>
    </row>
    <row r="240">
      <c r="A240" s="62">
        <f>A239+1</f>
        <v/>
      </c>
      <c r="B240" s="63">
        <f>IF(WEEKDAY(C240,2)=1,"Mo",IF(WEEKDAY(C240,2)=2,"Di",IF(WEEKDAY(C240,2)=3,"Mi",IF(WEEKDAY(C240,2)=4,"Do.",IF(WEEKDAY(C240,2)=5,"Fr.",IF(WEEKDAY(C240,2)=6,"Sa.","So"))))))</f>
        <v/>
      </c>
      <c r="C240" s="64">
        <f>C239+1</f>
        <v/>
      </c>
      <c r="D240" s="65" t="inlineStr">
        <is>
          <t>A</t>
        </is>
      </c>
      <c r="E240" s="97" t="n">
        <v>8.08</v>
      </c>
      <c r="F240" s="2" t="inlineStr">
        <is>
          <t>h</t>
        </is>
      </c>
      <c r="G240" s="96" t="inlineStr">
        <is>
          <t>nein</t>
        </is>
      </c>
      <c r="H240" s="67" t="inlineStr">
        <is>
          <t>Material- und Kostenaufstellung für die Schutzbox erstellt.</t>
        </is>
      </c>
      <c r="I240" s="86" t="n"/>
      <c r="J240" s="86" t="n"/>
      <c r="K240" s="86" t="n"/>
      <c r="L240" s="86" t="n"/>
    </row>
    <row r="241">
      <c r="A241" s="62">
        <f>A240+1</f>
        <v/>
      </c>
      <c r="B241" s="63">
        <f>IF(WEEKDAY(C241,2)=1,"Mo",IF(WEEKDAY(C241,2)=2,"Di",IF(WEEKDAY(C241,2)=3,"Mi",IF(WEEKDAY(C241,2)=4,"Do.",IF(WEEKDAY(C241,2)=5,"Fr.",IF(WEEKDAY(C241,2)=6,"Sa.","So"))))))</f>
        <v/>
      </c>
      <c r="C241" s="64">
        <f>C240+1</f>
        <v/>
      </c>
      <c r="D241" s="65" t="inlineStr">
        <is>
          <t>A</t>
        </is>
      </c>
      <c r="E241" s="97" t="n">
        <v>8.5</v>
      </c>
      <c r="F241" s="2" t="inlineStr">
        <is>
          <t>h</t>
        </is>
      </c>
      <c r="G241" s="96" t="inlineStr">
        <is>
          <t>nein</t>
        </is>
      </c>
      <c r="H241" s="67" t="inlineStr">
        <is>
          <t>Zeitersparnis durch den Wegfall des Nacharbeitens abgeschätzt und der Investition gegenübergestellt.</t>
        </is>
      </c>
      <c r="I241" s="86" t="n"/>
      <c r="J241" s="86" t="n"/>
      <c r="K241" s="86" t="n"/>
      <c r="L241" s="86" t="n"/>
    </row>
    <row r="242">
      <c r="A242" s="62">
        <f>A241+1</f>
        <v/>
      </c>
      <c r="B242" s="63">
        <f>IF(WEEKDAY(C242,2)=1,"Mo",IF(WEEKDAY(C242,2)=2,"Di",IF(WEEKDAY(C242,2)=3,"Mi",IF(WEEKDAY(C242,2)=4,"Do.",IF(WEEKDAY(C242,2)=5,"Fr.",IF(WEEKDAY(C242,2)=6,"Sa.","So"))))))</f>
        <v/>
      </c>
      <c r="C242" s="64">
        <f>C241+1</f>
        <v/>
      </c>
      <c r="D242" s="65" t="inlineStr">
        <is>
          <t>A</t>
        </is>
      </c>
      <c r="E242" s="97" t="n">
        <v>9</v>
      </c>
      <c r="F242" s="2" t="inlineStr">
        <is>
          <t>h</t>
        </is>
      </c>
      <c r="G242" s="96" t="inlineStr">
        <is>
          <t>nein</t>
        </is>
      </c>
      <c r="H242" s="67" t="inlineStr">
        <is>
          <t>Arbeitsanweisung für die Einlagerung und Entnahme der Schienenprofile entworfen.</t>
        </is>
      </c>
      <c r="I242" s="86" t="n"/>
      <c r="J242" s="86" t="n"/>
      <c r="K242" s="86" t="n"/>
      <c r="L242" s="86" t="n"/>
    </row>
    <row r="243">
      <c r="A243" s="62">
        <f>A242+1</f>
        <v/>
      </c>
      <c r="B243" s="63">
        <f>IF(WEEKDAY(C243,2)=1,"Mo",IF(WEEKDAY(C243,2)=2,"Di",IF(WEEKDAY(C243,2)=3,"Mi",IF(WEEKDAY(C243,2)=4,"Do.",IF(WEEKDAY(C243,2)=5,"Fr.",IF(WEEKDAY(C243,2)=6,"Sa.","So"))))))</f>
        <v/>
      </c>
      <c r="C243" s="64">
        <f>C242+1</f>
        <v/>
      </c>
      <c r="D243" s="65" t="n"/>
      <c r="E243" s="97" t="n"/>
      <c r="F243" s="2" t="inlineStr">
        <is>
          <t>h</t>
        </is>
      </c>
      <c r="G243" s="96" t="n"/>
      <c r="H243" s="67" t="n"/>
      <c r="I243" s="86" t="n"/>
      <c r="J243" s="86" t="n"/>
      <c r="K243" s="86" t="n"/>
      <c r="L243" s="86" t="n"/>
    </row>
    <row r="244">
      <c r="A244" s="62">
        <f>A243+1</f>
        <v/>
      </c>
      <c r="B244" s="63">
        <f>IF(WEEKDAY(C244,2)=1,"Mo",IF(WEEKDAY(C244,2)=2,"Di",IF(WEEKDAY(C244,2)=3,"Mi",IF(WEEKDAY(C244,2)=4,"Do.",IF(WEEKDAY(C244,2)=5,"Fr.",IF(WEEKDAY(C244,2)=6,"Sa.","So"))))))</f>
        <v/>
      </c>
      <c r="C244" s="64">
        <f>C243+1</f>
        <v/>
      </c>
      <c r="D244" s="65" t="n"/>
      <c r="E244" s="97" t="n"/>
      <c r="F244" s="2" t="inlineStr">
        <is>
          <t>h</t>
        </is>
      </c>
      <c r="G244" s="96" t="n"/>
      <c r="H244" s="67" t="n"/>
      <c r="I244" s="86" t="n"/>
      <c r="J244" s="86" t="n"/>
      <c r="K244" s="86" t="n"/>
      <c r="L244" s="86" t="n"/>
    </row>
    <row r="245">
      <c r="A245" s="62">
        <f>A244+1</f>
        <v/>
      </c>
      <c r="B245" s="63">
        <f>IF(WEEKDAY(C245,2)=1,"Mo",IF(WEEKDAY(C245,2)=2,"Di",IF(WEEKDAY(C245,2)=3,"Mi",IF(WEEKDAY(C245,2)=4,"Do.",IF(WEEKDAY(C245,2)=5,"Fr.",IF(WEEKDAY(C245,2)=6,"Sa.","So"))))))</f>
        <v/>
      </c>
      <c r="C245" s="64">
        <f>C244+1</f>
        <v/>
      </c>
      <c r="D245" s="65" t="n"/>
      <c r="E245" s="97" t="n"/>
      <c r="F245" s="2" t="inlineStr">
        <is>
          <t>h</t>
        </is>
      </c>
      <c r="G245" s="96" t="n"/>
      <c r="H245" s="67" t="n"/>
      <c r="I245" s="86" t="n"/>
      <c r="J245" s="86" t="n"/>
      <c r="K245" s="86" t="n"/>
      <c r="L245" s="86" t="n"/>
    </row>
    <row r="246">
      <c r="A246" s="62">
        <f>A245+1</f>
        <v/>
      </c>
      <c r="B246" s="63">
        <f>IF(WEEKDAY(C246,2)=1,"Mo",IF(WEEKDAY(C246,2)=2,"Di",IF(WEEKDAY(C246,2)=3,"Mi",IF(WEEKDAY(C246,2)=4,"Do.",IF(WEEKDAY(C246,2)=5,"Fr.",IF(WEEKDAY(C246,2)=6,"Sa.","So"))))))</f>
        <v/>
      </c>
      <c r="C246" s="64">
        <f>C245+1</f>
        <v/>
      </c>
      <c r="D246" s="65" t="n"/>
      <c r="E246" s="97" t="n"/>
      <c r="F246" s="2" t="inlineStr">
        <is>
          <t>h</t>
        </is>
      </c>
      <c r="G246" s="96" t="n"/>
      <c r="H246" s="67" t="n"/>
      <c r="I246" s="86" t="n"/>
      <c r="J246" s="86" t="n"/>
      <c r="K246" s="86" t="n"/>
      <c r="L246" s="86" t="n"/>
    </row>
    <row r="247">
      <c r="A247" s="62">
        <f>A246+1</f>
        <v/>
      </c>
      <c r="B247" s="63">
        <f>IF(WEEKDAY(C247,2)=1,"Mo",IF(WEEKDAY(C247,2)=2,"Di",IF(WEEKDAY(C247,2)=3,"Mi",IF(WEEKDAY(C247,2)=4,"Do.",IF(WEEKDAY(C247,2)=5,"Fr.",IF(WEEKDAY(C247,2)=6,"Sa.","So"))))))</f>
        <v/>
      </c>
      <c r="C247" s="64">
        <f>C246+1</f>
        <v/>
      </c>
      <c r="D247" s="65" t="n"/>
      <c r="E247" s="97" t="n"/>
      <c r="F247" s="2" t="inlineStr">
        <is>
          <t>h</t>
        </is>
      </c>
      <c r="G247" s="96" t="n"/>
      <c r="H247" s="67" t="n"/>
      <c r="I247" s="86" t="n"/>
      <c r="J247" s="86" t="n"/>
      <c r="K247" s="86" t="n"/>
      <c r="L247" s="86" t="n"/>
    </row>
    <row r="248">
      <c r="A248" s="62">
        <f>A247+1</f>
        <v/>
      </c>
      <c r="B248" s="63">
        <f>IF(WEEKDAY(C248,2)=1,"Mo",IF(WEEKDAY(C248,2)=2,"Di",IF(WEEKDAY(C248,2)=3,"Mi",IF(WEEKDAY(C248,2)=4,"Do.",IF(WEEKDAY(C248,2)=5,"Fr.",IF(WEEKDAY(C248,2)=6,"Sa.","So"))))))</f>
        <v/>
      </c>
      <c r="C248" s="64">
        <f>C247+1</f>
        <v/>
      </c>
      <c r="D248" s="65" t="n"/>
      <c r="E248" s="97" t="n"/>
      <c r="F248" s="2" t="inlineStr">
        <is>
          <t>h</t>
        </is>
      </c>
      <c r="G248" s="96" t="n"/>
      <c r="H248" s="67" t="n"/>
      <c r="I248" s="86" t="n"/>
      <c r="J248" s="86" t="n"/>
      <c r="K248" s="86" t="n"/>
      <c r="L248" s="86" t="n"/>
    </row>
    <row r="249">
      <c r="A249" s="62">
        <f>A248+1</f>
        <v/>
      </c>
      <c r="B249" s="63">
        <f>IF(WEEKDAY(C249,2)=1,"Mo",IF(WEEKDAY(C249,2)=2,"Di",IF(WEEKDAY(C249,2)=3,"Mi",IF(WEEKDAY(C249,2)=4,"Do.",IF(WEEKDAY(C249,2)=5,"Fr.",IF(WEEKDAY(C249,2)=6,"Sa.","So"))))))</f>
        <v/>
      </c>
      <c r="C249" s="64">
        <f>C248+1</f>
        <v/>
      </c>
      <c r="D249" s="65" t="n"/>
      <c r="E249" s="97" t="n"/>
      <c r="F249" s="2" t="inlineStr">
        <is>
          <t>h</t>
        </is>
      </c>
      <c r="G249" s="96" t="n"/>
      <c r="H249" s="67" t="n"/>
      <c r="I249" s="86" t="n"/>
      <c r="J249" s="86" t="n"/>
      <c r="K249" s="86" t="n"/>
      <c r="L249" s="86" t="n"/>
    </row>
    <row r="250">
      <c r="A250" s="62">
        <f>A249+1</f>
        <v/>
      </c>
      <c r="B250" s="63">
        <f>IF(WEEKDAY(C250,2)=1,"Mo",IF(WEEKDAY(C250,2)=2,"Di",IF(WEEKDAY(C250,2)=3,"Mi",IF(WEEKDAY(C250,2)=4,"Do.",IF(WEEKDAY(C250,2)=5,"Fr.",IF(WEEKDAY(C250,2)=6,"Sa.","So"))))))</f>
        <v/>
      </c>
      <c r="C250" s="64">
        <f>C249+1</f>
        <v/>
      </c>
      <c r="D250" s="65" t="n"/>
      <c r="E250" s="97" t="n"/>
      <c r="F250" s="2" t="inlineStr">
        <is>
          <t>h</t>
        </is>
      </c>
      <c r="G250" s="96" t="n"/>
      <c r="H250" s="67" t="n"/>
      <c r="I250" s="86" t="n"/>
      <c r="J250" s="86" t="n"/>
      <c r="K250" s="86" t="n"/>
      <c r="L250" s="86" t="n"/>
    </row>
    <row r="251">
      <c r="A251" s="62">
        <f>A250+1</f>
        <v/>
      </c>
      <c r="B251" s="63">
        <f>IF(WEEKDAY(C251,2)=1,"Mo",IF(WEEKDAY(C251,2)=2,"Di",IF(WEEKDAY(C251,2)=3,"Mi",IF(WEEKDAY(C251,2)=4,"Do.",IF(WEEKDAY(C251,2)=5,"Fr.",IF(WEEKDAY(C251,2)=6,"Sa.","So"))))))</f>
        <v/>
      </c>
      <c r="C251" s="64">
        <f>C250+1</f>
        <v/>
      </c>
      <c r="D251" s="65" t="n"/>
      <c r="E251" s="97" t="n"/>
      <c r="F251" s="2" t="inlineStr">
        <is>
          <t>h</t>
        </is>
      </c>
      <c r="G251" s="96" t="n"/>
      <c r="H251" s="67" t="n"/>
      <c r="I251" s="86" t="n"/>
      <c r="J251" s="86" t="n"/>
      <c r="K251" s="86" t="n"/>
      <c r="L251" s="86" t="n"/>
    </row>
    <row r="252">
      <c r="A252" s="62">
        <f>A251+1</f>
        <v/>
      </c>
      <c r="B252" s="63">
        <f>IF(WEEKDAY(C252,2)=1,"Mo",IF(WEEKDAY(C252,2)=2,"Di",IF(WEEKDAY(C252,2)=3,"Mi",IF(WEEKDAY(C252,2)=4,"Do.",IF(WEEKDAY(C252,2)=5,"Fr.",IF(WEEKDAY(C252,2)=6,"Sa.","So"))))))</f>
        <v/>
      </c>
      <c r="C252" s="64">
        <f>C251+1</f>
        <v/>
      </c>
      <c r="D252" s="65" t="n"/>
      <c r="E252" s="97" t="n"/>
      <c r="F252" s="2" t="inlineStr">
        <is>
          <t>h</t>
        </is>
      </c>
      <c r="G252" s="96" t="n"/>
      <c r="H252" s="67" t="n"/>
      <c r="I252" s="86" t="n"/>
      <c r="J252" s="86" t="n"/>
      <c r="K252" s="86" t="n"/>
      <c r="L252" s="86" t="n"/>
    </row>
    <row r="253">
      <c r="A253" s="62">
        <f>A252+1</f>
        <v/>
      </c>
      <c r="B253" s="63">
        <f>IF(WEEKDAY(C253,2)=1,"Mo",IF(WEEKDAY(C253,2)=2,"Di",IF(WEEKDAY(C253,2)=3,"Mi",IF(WEEKDAY(C253,2)=4,"Do.",IF(WEEKDAY(C253,2)=5,"Fr.",IF(WEEKDAY(C253,2)=6,"Sa.","So"))))))</f>
        <v/>
      </c>
      <c r="C253" s="64">
        <f>C252+1</f>
        <v/>
      </c>
      <c r="D253" s="65" t="n"/>
      <c r="E253" s="97" t="n"/>
      <c r="F253" s="2" t="inlineStr">
        <is>
          <t>h</t>
        </is>
      </c>
      <c r="G253" s="96" t="n"/>
      <c r="H253" s="67" t="n"/>
      <c r="I253" s="86" t="n"/>
      <c r="J253" s="86" t="n"/>
      <c r="K253" s="86" t="n"/>
      <c r="L253" s="86" t="n"/>
    </row>
    <row r="254">
      <c r="A254" s="62">
        <f>A253+1</f>
        <v/>
      </c>
      <c r="B254" s="63">
        <f>IF(WEEKDAY(C254,2)=1,"Mo",IF(WEEKDAY(C254,2)=2,"Di",IF(WEEKDAY(C254,2)=3,"Mi",IF(WEEKDAY(C254,2)=4,"Do.",IF(WEEKDAY(C254,2)=5,"Fr.",IF(WEEKDAY(C254,2)=6,"Sa.","So"))))))</f>
        <v/>
      </c>
      <c r="C254" s="64">
        <f>C253+1</f>
        <v/>
      </c>
      <c r="D254" s="65" t="n"/>
      <c r="E254" s="97" t="n"/>
      <c r="F254" s="2" t="inlineStr">
        <is>
          <t>h</t>
        </is>
      </c>
      <c r="G254" s="96" t="n"/>
      <c r="H254" s="67" t="n"/>
      <c r="I254" s="86" t="n"/>
      <c r="J254" s="86" t="n"/>
      <c r="K254" s="86" t="n"/>
      <c r="L254" s="86" t="n"/>
    </row>
    <row r="255">
      <c r="A255" s="62">
        <f>A254+1</f>
        <v/>
      </c>
      <c r="B255" s="63">
        <f>IF(WEEKDAY(C255,2)=1,"Mo",IF(WEEKDAY(C255,2)=2,"Di",IF(WEEKDAY(C255,2)=3,"Mi",IF(WEEKDAY(C255,2)=4,"Do.",IF(WEEKDAY(C255,2)=5,"Fr.",IF(WEEKDAY(C255,2)=6,"Sa.","So"))))))</f>
        <v/>
      </c>
      <c r="C255" s="64">
        <f>C254+1</f>
        <v/>
      </c>
      <c r="D255" s="65" t="n"/>
      <c r="E255" s="97" t="n"/>
      <c r="F255" s="2" t="inlineStr">
        <is>
          <t>h</t>
        </is>
      </c>
      <c r="G255" s="96" t="n"/>
      <c r="H255" s="67" t="n"/>
      <c r="I255" s="86" t="n"/>
      <c r="J255" s="86" t="n"/>
      <c r="K255" s="86" t="n"/>
      <c r="L255" s="86" t="n"/>
    </row>
    <row r="256">
      <c r="A256" s="62">
        <f>A255+1</f>
        <v/>
      </c>
      <c r="B256" s="63">
        <f>IF(WEEKDAY(C256,2)=1,"Mo",IF(WEEKDAY(C256,2)=2,"Di",IF(WEEKDAY(C256,2)=3,"Mi",IF(WEEKDAY(C256,2)=4,"Do.",IF(WEEKDAY(C256,2)=5,"Fr.",IF(WEEKDAY(C256,2)=6,"Sa.","So"))))))</f>
        <v/>
      </c>
      <c r="C256" s="64">
        <f>C255+1</f>
        <v/>
      </c>
      <c r="D256" s="65" t="n"/>
      <c r="E256" s="97" t="n"/>
      <c r="F256" s="2" t="inlineStr">
        <is>
          <t>h</t>
        </is>
      </c>
      <c r="G256" s="96" t="n"/>
      <c r="H256" s="67" t="n"/>
      <c r="I256" s="86" t="n"/>
      <c r="J256" s="86" t="n"/>
      <c r="K256" s="86" t="n"/>
      <c r="L256" s="86" t="n"/>
    </row>
    <row r="257">
      <c r="A257" s="62">
        <f>A256+1</f>
        <v/>
      </c>
      <c r="B257" s="63">
        <f>IF(WEEKDAY(C257,2)=1,"Mo",IF(WEEKDAY(C257,2)=2,"Di",IF(WEEKDAY(C257,2)=3,"Mi",IF(WEEKDAY(C257,2)=4,"Do.",IF(WEEKDAY(C257,2)=5,"Fr.",IF(WEEKDAY(C257,2)=6,"Sa.","So"))))))</f>
        <v/>
      </c>
      <c r="C257" s="64">
        <f>C256+1</f>
        <v/>
      </c>
      <c r="D257" s="65" t="n"/>
      <c r="E257" s="97" t="n"/>
      <c r="F257" s="2" t="inlineStr">
        <is>
          <t>h</t>
        </is>
      </c>
      <c r="G257" s="96" t="n"/>
      <c r="H257" s="67" t="n"/>
      <c r="I257" s="86" t="n"/>
      <c r="J257" s="86" t="n"/>
      <c r="K257" s="86" t="n"/>
      <c r="L257" s="86" t="n"/>
    </row>
    <row r="258" ht="14.25" customHeight="1" thickBot="1">
      <c r="A258" s="69">
        <f>A257+1</f>
        <v/>
      </c>
      <c r="B258" s="70">
        <f>IF(WEEKDAY(C258,2)=1,"Mo",IF(WEEKDAY(C258,2)=2,"Di",IF(WEEKDAY(C258,2)=3,"Mi",IF(WEEKDAY(C258,2)=4,"Do.",IF(WEEKDAY(C258,2)=5,"Fr.",IF(WEEKDAY(C258,2)=6,"Sa.","So"))))))</f>
        <v/>
      </c>
      <c r="C258" s="71">
        <f>C257+1</f>
        <v/>
      </c>
      <c r="D258" s="72" t="n"/>
      <c r="E258" s="73" t="n"/>
      <c r="F258" s="11" t="inlineStr">
        <is>
          <t>h</t>
        </is>
      </c>
      <c r="G258" s="13" t="n"/>
      <c r="H258" s="74" t="n"/>
      <c r="I258" s="86" t="n"/>
      <c r="J258" s="86" t="n"/>
      <c r="K258" s="86" t="n"/>
      <c r="L258" s="86" t="n"/>
      <c r="N258" s="49" t="n"/>
      <c r="O258" s="50" t="inlineStr">
        <is>
          <t xml:space="preserve">Hier sollte der letzte Seitenumbruch (Seite 6 Ende) zu sehen sein.  (Reiter "Ansicht &gt; Umbruchsvorschau) </t>
        </is>
      </c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</row>
    <row r="259">
      <c r="A259" s="88" t="n"/>
      <c r="B259" s="88" t="n"/>
      <c r="C259" s="88" t="n"/>
      <c r="D259" s="88" t="n"/>
      <c r="E259" s="88" t="n"/>
      <c r="F259" s="37" t="n"/>
      <c r="G259" s="37" t="n"/>
      <c r="H259" s="88" t="n"/>
      <c r="I259" s="88" t="n"/>
      <c r="J259" s="88" t="n"/>
      <c r="K259" s="88" t="n"/>
      <c r="L259" s="88" t="n"/>
      <c r="N259" s="48" t="n"/>
      <c r="O259" s="1" t="inlineStr">
        <is>
          <t>Sie könne mit der Maus den Umbruch verschieben.</t>
        </is>
      </c>
    </row>
    <row r="260">
      <c r="A260" s="110">
        <f>Student_Name</f>
        <v/>
      </c>
      <c r="B260" s="116" t="n"/>
      <c r="C260" s="116" t="n"/>
      <c r="D260" s="116" t="n"/>
      <c r="E260" s="116" t="n"/>
      <c r="F260" s="116" t="n"/>
      <c r="G260" s="100" t="n"/>
      <c r="H260" s="110">
        <f>Ausbildungsbetrieb_Unternehmen</f>
        <v/>
      </c>
      <c r="I260" s="87" t="n"/>
      <c r="J260" s="87" t="n"/>
      <c r="K260" s="87" t="n"/>
      <c r="L260" s="87" t="n"/>
    </row>
    <row r="261">
      <c r="A261" s="76" t="inlineStr">
        <is>
          <t>Name</t>
        </is>
      </c>
      <c r="B261" s="76" t="n"/>
      <c r="C261" s="76" t="n"/>
      <c r="D261" s="76" t="n"/>
      <c r="E261" s="76" t="n"/>
      <c r="F261" s="28" t="n"/>
      <c r="G261" s="28" t="n"/>
      <c r="H261" s="76" t="inlineStr">
        <is>
          <t>Ausbildungsbetrieb</t>
        </is>
      </c>
      <c r="I261" s="76" t="n"/>
      <c r="J261" s="76" t="n"/>
      <c r="K261" s="76" t="n"/>
      <c r="L261" s="76" t="n"/>
    </row>
    <row r="262">
      <c r="A262" s="87" t="n"/>
      <c r="B262" s="87" t="n"/>
      <c r="C262" s="87" t="n"/>
      <c r="D262" s="87" t="n"/>
      <c r="E262" s="87" t="n"/>
      <c r="F262" s="100" t="n"/>
      <c r="G262" s="100" t="n"/>
      <c r="H262" s="87" t="n"/>
      <c r="I262" s="87" t="n"/>
      <c r="J262" s="87" t="n"/>
      <c r="K262" s="87" t="n"/>
      <c r="L262" s="87" t="n"/>
    </row>
    <row r="263">
      <c r="A263" s="110">
        <f>Student_Vorname</f>
        <v/>
      </c>
      <c r="B263" s="116" t="n"/>
      <c r="C263" s="116" t="n"/>
      <c r="D263" s="116" t="n"/>
      <c r="E263" s="116" t="n"/>
      <c r="F263" s="116" t="n"/>
      <c r="G263" s="100" t="n"/>
      <c r="H263" s="110">
        <f>CONCATENATE(Ausbildungsbetrieb_Vorname, " ", Ausbildungsbetrieb_Name)</f>
        <v/>
      </c>
      <c r="I263" s="87" t="n"/>
      <c r="J263" s="87" t="n"/>
      <c r="K263" s="87" t="n"/>
      <c r="L263" s="87" t="n"/>
    </row>
    <row r="264">
      <c r="A264" s="76" t="inlineStr">
        <is>
          <t>Vorname</t>
        </is>
      </c>
      <c r="B264" s="76" t="n"/>
      <c r="C264" s="76" t="n"/>
      <c r="D264" s="76" t="n"/>
      <c r="E264" s="76" t="n"/>
      <c r="F264" s="28" t="n"/>
      <c r="G264" s="28" t="n"/>
      <c r="H264" s="76" t="inlineStr">
        <is>
          <t>Ansprechpartner im Betrieb</t>
        </is>
      </c>
      <c r="I264" s="76" t="n"/>
      <c r="J264" s="76" t="n"/>
      <c r="K264" s="76" t="n"/>
      <c r="L264" s="76" t="n"/>
    </row>
    <row r="265">
      <c r="A265" s="87" t="n"/>
      <c r="B265" s="87" t="n"/>
      <c r="C265" s="87" t="n"/>
      <c r="D265" s="87" t="n"/>
      <c r="E265" s="87" t="n"/>
      <c r="F265" s="100" t="n"/>
      <c r="G265" s="100" t="n"/>
      <c r="H265" s="87" t="n"/>
      <c r="I265" s="87" t="n"/>
      <c r="J265" s="87" t="n"/>
      <c r="K265" s="87" t="n"/>
      <c r="L265" s="87" t="n"/>
    </row>
    <row r="266">
      <c r="A266" s="110">
        <f>Student_Studiengruppe</f>
        <v/>
      </c>
      <c r="B266" s="116" t="n"/>
      <c r="C266" s="116" t="n"/>
      <c r="D266" s="116" t="n"/>
      <c r="E266" s="116" t="n"/>
      <c r="F266" s="116" t="n"/>
      <c r="G266" s="100" t="n"/>
      <c r="H266" s="110">
        <f>Ausbildungsbetrieb_Email</f>
        <v/>
      </c>
      <c r="I266" s="87" t="n"/>
      <c r="J266" s="87" t="n"/>
      <c r="K266" s="87" t="n"/>
      <c r="L266" s="87" t="n"/>
    </row>
    <row r="267">
      <c r="A267" s="76" t="inlineStr">
        <is>
          <t>Studiengruppe</t>
        </is>
      </c>
      <c r="B267" s="76" t="n"/>
      <c r="C267" s="76" t="n"/>
      <c r="D267" s="76" t="n"/>
      <c r="E267" s="76" t="n"/>
      <c r="F267" s="28" t="n"/>
      <c r="G267" s="28" t="n"/>
      <c r="H267" s="76" t="inlineStr">
        <is>
          <t>Email Ansprechpartner</t>
        </is>
      </c>
      <c r="I267" s="76" t="n"/>
      <c r="J267" s="76" t="n"/>
      <c r="K267" s="76" t="n"/>
      <c r="L267" s="76" t="n"/>
    </row>
    <row r="268">
      <c r="A268" s="87" t="n"/>
      <c r="B268" s="87" t="n"/>
      <c r="C268" s="87" t="n"/>
      <c r="D268" s="87" t="n"/>
      <c r="E268" s="87" t="n"/>
      <c r="F268" s="100" t="n"/>
      <c r="G268" s="100" t="n"/>
      <c r="H268" s="87" t="n"/>
      <c r="I268" s="87" t="n"/>
      <c r="J268" s="87" t="n"/>
      <c r="K268" s="87" t="n"/>
      <c r="L268" s="87" t="n"/>
    </row>
    <row r="269">
      <c r="A269" s="110">
        <f>Student_Matrikelnummer</f>
        <v/>
      </c>
      <c r="B269" s="116" t="n"/>
      <c r="C269" s="116" t="n"/>
      <c r="D269" s="116" t="n"/>
      <c r="E269" s="116" t="n"/>
      <c r="F269" s="116" t="n"/>
      <c r="G269" s="100" t="n"/>
      <c r="H269" s="110">
        <f>Ausbildungsbetrieb_Telefon</f>
        <v/>
      </c>
      <c r="I269" s="87" t="n"/>
      <c r="J269" s="87" t="n"/>
      <c r="K269" s="87" t="n"/>
      <c r="L269" s="87" t="n"/>
    </row>
    <row r="270">
      <c r="A270" s="76" t="inlineStr">
        <is>
          <t>Matrikelnummer</t>
        </is>
      </c>
      <c r="B270" s="76" t="n"/>
      <c r="C270" s="76" t="n"/>
      <c r="D270" s="76" t="n"/>
      <c r="E270" s="76" t="n"/>
      <c r="F270" s="28" t="n"/>
      <c r="G270" s="28" t="n"/>
      <c r="H270" s="76" t="inlineStr">
        <is>
          <t>Telefon Ansprechpartner</t>
        </is>
      </c>
      <c r="I270" s="76" t="n"/>
      <c r="J270" s="76" t="n"/>
      <c r="K270" s="76" t="n"/>
      <c r="L270" s="76" t="n"/>
    </row>
    <row r="271" ht="14.25" customHeight="1" thickBot="1">
      <c r="A271" s="87" t="n"/>
      <c r="B271" s="87" t="n"/>
      <c r="C271" s="87" t="n"/>
      <c r="D271" s="87" t="n"/>
      <c r="E271" s="87" t="n"/>
      <c r="F271" s="100" t="n"/>
      <c r="G271" s="100" t="n"/>
      <c r="H271" s="87" t="n"/>
      <c r="I271" s="87" t="n"/>
      <c r="J271" s="87" t="n"/>
      <c r="K271" s="87" t="n"/>
      <c r="L271" s="87" t="n"/>
    </row>
    <row r="272">
      <c r="A272" s="78" t="n"/>
      <c r="B272" s="79" t="n"/>
      <c r="C272" s="79" t="n"/>
      <c r="D272" s="79" t="n"/>
      <c r="E272" s="79" t="inlineStr">
        <is>
          <t>Typ</t>
        </is>
      </c>
      <c r="F272" s="15" t="n"/>
      <c r="G272" s="15" t="n"/>
      <c r="H272" s="80" t="inlineStr">
        <is>
          <t>Vorlesung besucht?</t>
        </is>
      </c>
      <c r="I272" s="88" t="n"/>
      <c r="J272" s="88" t="n"/>
      <c r="K272" s="88" t="n"/>
      <c r="L272" s="88" t="n"/>
    </row>
    <row r="273" ht="14.25" customHeight="1" thickBot="1">
      <c r="A273" s="111" t="inlineStr">
        <is>
          <t>Tag</t>
        </is>
      </c>
      <c r="B273" s="117" t="n"/>
      <c r="C273" s="81" t="inlineStr">
        <is>
          <t>Datum</t>
        </is>
      </c>
      <c r="D273" s="81" t="n"/>
      <c r="E273" s="113" t="inlineStr">
        <is>
          <t>Anwesen-heitszeit im Betrieb</t>
        </is>
      </c>
      <c r="F273" s="117" t="n"/>
      <c r="G273" s="109" t="n"/>
      <c r="H273" s="82" t="inlineStr">
        <is>
          <t>genaue Angaben zu den Tätigkeiten</t>
        </is>
      </c>
      <c r="I273" s="88" t="n"/>
      <c r="J273" s="88" t="n"/>
      <c r="K273" s="88" t="n"/>
      <c r="L273" s="88" t="n"/>
    </row>
    <row r="274">
      <c r="A274" s="56">
        <f>A258</f>
        <v/>
      </c>
      <c r="B274" s="57">
        <f>IF(WEEKDAY(C274,2)=1,"Mo",IF(WEEKDAY(C274,2)=2,"Di",IF(WEEKDAY(C274,2)=3,"Mi",IF(WEEKDAY(C274,2)=4,"Do.",IF(WEEKDAY(C274,2)=5,"Fr.",IF(WEEKDAY(C274,2)=6,"Sa.","So"))))))</f>
        <v/>
      </c>
      <c r="C274" s="58">
        <f>C258+1</f>
        <v/>
      </c>
      <c r="D274" s="59" t="n"/>
      <c r="E274" s="60" t="n"/>
      <c r="F274" s="6" t="inlineStr">
        <is>
          <t>h</t>
        </is>
      </c>
      <c r="G274" s="8" t="n"/>
      <c r="H274" s="61" t="n"/>
      <c r="I274" s="86" t="n"/>
      <c r="J274" s="86" t="n"/>
      <c r="K274" s="86" t="n"/>
      <c r="L274" s="86" t="n"/>
    </row>
    <row r="275">
      <c r="A275" s="62">
        <f>A274+1</f>
        <v/>
      </c>
      <c r="B275" s="63">
        <f>IF(WEEKDAY(C275,2)=1,"Mo",IF(WEEKDAY(C275,2)=2,"Di",IF(WEEKDAY(C275,2)=3,"Mi",IF(WEEKDAY(C275,2)=4,"Do.",IF(WEEKDAY(C275,2)=5,"Fr.",IF(WEEKDAY(C275,2)=6,"Sa.","So"))))))</f>
        <v/>
      </c>
      <c r="C275" s="64">
        <f>C274+1</f>
        <v/>
      </c>
      <c r="D275" s="65" t="n"/>
      <c r="E275" s="97" t="n"/>
      <c r="F275" s="2" t="inlineStr">
        <is>
          <t>h</t>
        </is>
      </c>
      <c r="G275" s="96" t="n"/>
      <c r="H275" s="67" t="n"/>
      <c r="I275" s="86" t="n"/>
      <c r="J275" s="86" t="n"/>
      <c r="K275" s="86" t="n"/>
      <c r="L275" s="86" t="n"/>
    </row>
    <row r="276">
      <c r="A276" s="62">
        <f>A275+1</f>
        <v/>
      </c>
      <c r="B276" s="63">
        <f>IF(WEEKDAY(C276,2)=1,"Mo",IF(WEEKDAY(C276,2)=2,"Di",IF(WEEKDAY(C276,2)=3,"Mi",IF(WEEKDAY(C276,2)=4,"Do.",IF(WEEKDAY(C276,2)=5,"Fr.",IF(WEEKDAY(C276,2)=6,"Sa.","So"))))))</f>
        <v/>
      </c>
      <c r="C276" s="64">
        <f>C275+1</f>
        <v/>
      </c>
      <c r="D276" s="65" t="n"/>
      <c r="E276" s="97" t="n"/>
      <c r="F276" s="2" t="inlineStr">
        <is>
          <t>h</t>
        </is>
      </c>
      <c r="G276" s="96" t="n"/>
      <c r="H276" s="67" t="n"/>
      <c r="I276" s="86" t="n"/>
      <c r="J276" s="86" t="n"/>
      <c r="K276" s="86" t="n"/>
      <c r="L276" s="86" t="n"/>
    </row>
    <row r="277">
      <c r="A277" s="62">
        <f>A276+1</f>
        <v/>
      </c>
      <c r="B277" s="63">
        <f>IF(WEEKDAY(C277,2)=1,"Mo",IF(WEEKDAY(C277,2)=2,"Di",IF(WEEKDAY(C277,2)=3,"Mi",IF(WEEKDAY(C277,2)=4,"Do.",IF(WEEKDAY(C277,2)=5,"Fr.",IF(WEEKDAY(C277,2)=6,"Sa.","So"))))))</f>
        <v/>
      </c>
      <c r="C277" s="64">
        <f>C276+1</f>
        <v/>
      </c>
      <c r="D277" s="65" t="n"/>
      <c r="E277" s="97" t="n"/>
      <c r="F277" s="2" t="inlineStr">
        <is>
          <t>h</t>
        </is>
      </c>
      <c r="G277" s="96" t="n"/>
      <c r="H277" s="67" t="n"/>
      <c r="I277" s="86" t="n"/>
      <c r="J277" s="86" t="n"/>
      <c r="K277" s="86" t="n"/>
      <c r="L277" s="86" t="n"/>
    </row>
    <row r="278">
      <c r="A278" s="62">
        <f>A277+1</f>
        <v/>
      </c>
      <c r="B278" s="63">
        <f>IF(WEEKDAY(C278,2)=1,"Mo",IF(WEEKDAY(C278,2)=2,"Di",IF(WEEKDAY(C278,2)=3,"Mi",IF(WEEKDAY(C278,2)=4,"Do.",IF(WEEKDAY(C278,2)=5,"Fr.",IF(WEEKDAY(C278,2)=6,"Sa.","So"))))))</f>
        <v/>
      </c>
      <c r="C278" s="64">
        <f>C277+1</f>
        <v/>
      </c>
      <c r="D278" s="65" t="n"/>
      <c r="E278" s="97" t="n"/>
      <c r="F278" s="2" t="inlineStr">
        <is>
          <t>h</t>
        </is>
      </c>
      <c r="G278" s="96" t="n"/>
      <c r="H278" s="67" t="n"/>
      <c r="I278" s="86" t="n"/>
      <c r="J278" s="86" t="n"/>
      <c r="K278" s="86" t="n"/>
      <c r="L278" s="86" t="n"/>
    </row>
    <row r="279">
      <c r="A279" s="62">
        <f>A278+1</f>
        <v/>
      </c>
      <c r="B279" s="63">
        <f>IF(WEEKDAY(C279,2)=1,"Mo",IF(WEEKDAY(C279,2)=2,"Di",IF(WEEKDAY(C279,2)=3,"Mi",IF(WEEKDAY(C279,2)=4,"Do.",IF(WEEKDAY(C279,2)=5,"Fr.",IF(WEEKDAY(C279,2)=6,"Sa.","So"))))))</f>
        <v/>
      </c>
      <c r="C279" s="64">
        <f>C278+1</f>
        <v/>
      </c>
      <c r="D279" s="65" t="n"/>
      <c r="E279" s="97" t="n"/>
      <c r="F279" s="2" t="inlineStr">
        <is>
          <t>h</t>
        </is>
      </c>
      <c r="G279" s="96" t="n"/>
      <c r="H279" s="67" t="n"/>
      <c r="I279" s="86" t="n"/>
      <c r="J279" s="86" t="n"/>
      <c r="K279" s="86" t="n"/>
      <c r="L279" s="86" t="n"/>
    </row>
    <row r="280">
      <c r="A280" s="62">
        <f>A279+1</f>
        <v/>
      </c>
      <c r="B280" s="63">
        <f>IF(WEEKDAY(C280,2)=1,"Mo",IF(WEEKDAY(C280,2)=2,"Di",IF(WEEKDAY(C280,2)=3,"Mi",IF(WEEKDAY(C280,2)=4,"Do.",IF(WEEKDAY(C280,2)=5,"Fr.",IF(WEEKDAY(C280,2)=6,"Sa.","So"))))))</f>
        <v/>
      </c>
      <c r="C280" s="64">
        <f>C279+1</f>
        <v/>
      </c>
      <c r="D280" s="65" t="n"/>
      <c r="E280" s="97" t="n"/>
      <c r="F280" s="2" t="inlineStr">
        <is>
          <t>h</t>
        </is>
      </c>
      <c r="G280" s="96" t="n"/>
      <c r="H280" s="67" t="n"/>
      <c r="I280" s="86" t="n"/>
      <c r="J280" s="86" t="n"/>
      <c r="K280" s="86" t="n"/>
      <c r="L280" s="86" t="n"/>
    </row>
    <row r="281">
      <c r="A281" s="62">
        <f>A280+1</f>
        <v/>
      </c>
      <c r="B281" s="63">
        <f>IF(WEEKDAY(C281,2)=1,"Mo",IF(WEEKDAY(C281,2)=2,"Di",IF(WEEKDAY(C281,2)=3,"Mi",IF(WEEKDAY(C281,2)=4,"Do.",IF(WEEKDAY(C281,2)=5,"Fr.",IF(WEEKDAY(C281,2)=6,"Sa.","So"))))))</f>
        <v/>
      </c>
      <c r="C281" s="64">
        <f>C280+1</f>
        <v/>
      </c>
      <c r="D281" s="65" t="n"/>
      <c r="E281" s="97" t="n"/>
      <c r="F281" s="2" t="inlineStr">
        <is>
          <t>h</t>
        </is>
      </c>
      <c r="G281" s="96" t="n"/>
      <c r="H281" s="67" t="n"/>
      <c r="I281" s="86" t="n"/>
      <c r="J281" s="86" t="n"/>
      <c r="K281" s="86" t="n"/>
      <c r="L281" s="86" t="n"/>
    </row>
    <row r="282">
      <c r="A282" s="62">
        <f>A281+1</f>
        <v/>
      </c>
      <c r="B282" s="63">
        <f>IF(WEEKDAY(C282,2)=1,"Mo",IF(WEEKDAY(C282,2)=2,"Di",IF(WEEKDAY(C282,2)=3,"Mi",IF(WEEKDAY(C282,2)=4,"Do.",IF(WEEKDAY(C282,2)=5,"Fr.",IF(WEEKDAY(C282,2)=6,"Sa.","So"))))))</f>
        <v/>
      </c>
      <c r="C282" s="64">
        <f>C281+1</f>
        <v/>
      </c>
      <c r="D282" s="65" t="n"/>
      <c r="E282" s="97" t="n"/>
      <c r="F282" s="2" t="inlineStr">
        <is>
          <t>h</t>
        </is>
      </c>
      <c r="G282" s="96" t="n"/>
      <c r="H282" s="67" t="n"/>
      <c r="I282" s="86" t="n"/>
      <c r="J282" s="86" t="n"/>
      <c r="K282" s="86" t="n"/>
      <c r="L282" s="86" t="n"/>
    </row>
    <row r="283">
      <c r="A283" s="62">
        <f>A282+1</f>
        <v/>
      </c>
      <c r="B283" s="63">
        <f>IF(WEEKDAY(C283,2)=1,"Mo",IF(WEEKDAY(C283,2)=2,"Di",IF(WEEKDAY(C283,2)=3,"Mi",IF(WEEKDAY(C283,2)=4,"Do.",IF(WEEKDAY(C283,2)=5,"Fr.",IF(WEEKDAY(C283,2)=6,"Sa.","So"))))))</f>
        <v/>
      </c>
      <c r="C283" s="64">
        <f>C282+1</f>
        <v/>
      </c>
      <c r="D283" s="65" t="n"/>
      <c r="E283" s="97" t="n"/>
      <c r="F283" s="2" t="inlineStr">
        <is>
          <t>h</t>
        </is>
      </c>
      <c r="G283" s="96" t="n"/>
      <c r="H283" s="67" t="n"/>
      <c r="I283" s="86" t="n"/>
      <c r="J283" s="86" t="n"/>
      <c r="K283" s="86" t="n"/>
      <c r="L283" s="86" t="n"/>
    </row>
    <row r="284">
      <c r="A284" s="62">
        <f>A283+1</f>
        <v/>
      </c>
      <c r="B284" s="63">
        <f>IF(WEEKDAY(C284,2)=1,"Mo",IF(WEEKDAY(C284,2)=2,"Di",IF(WEEKDAY(C284,2)=3,"Mi",IF(WEEKDAY(C284,2)=4,"Do.",IF(WEEKDAY(C284,2)=5,"Fr.",IF(WEEKDAY(C284,2)=6,"Sa.","So"))))))</f>
        <v/>
      </c>
      <c r="C284" s="64">
        <f>C283+1</f>
        <v/>
      </c>
      <c r="D284" s="65" t="n"/>
      <c r="E284" s="97" t="n"/>
      <c r="F284" s="2" t="inlineStr">
        <is>
          <t>h</t>
        </is>
      </c>
      <c r="G284" s="96" t="n"/>
      <c r="H284" s="67" t="n"/>
      <c r="I284" s="86" t="n"/>
      <c r="J284" s="86" t="n"/>
      <c r="K284" s="86" t="n"/>
      <c r="L284" s="86" t="n"/>
    </row>
    <row r="285">
      <c r="A285" s="62">
        <f>A284+1</f>
        <v/>
      </c>
      <c r="B285" s="63">
        <f>IF(WEEKDAY(C285,2)=1,"Mo",IF(WEEKDAY(C285,2)=2,"Di",IF(WEEKDAY(C285,2)=3,"Mi",IF(WEEKDAY(C285,2)=4,"Do.",IF(WEEKDAY(C285,2)=5,"Fr.",IF(WEEKDAY(C285,2)=6,"Sa.","So"))))))</f>
        <v/>
      </c>
      <c r="C285" s="64">
        <f>C284+1</f>
        <v/>
      </c>
      <c r="D285" s="65" t="n"/>
      <c r="E285" s="97" t="n"/>
      <c r="F285" s="2" t="inlineStr">
        <is>
          <t>h</t>
        </is>
      </c>
      <c r="G285" s="96" t="n"/>
      <c r="H285" s="67" t="n"/>
      <c r="I285" s="86" t="n"/>
      <c r="J285" s="86" t="n"/>
      <c r="K285" s="86" t="n"/>
      <c r="L285" s="86" t="n"/>
    </row>
    <row r="286">
      <c r="A286" s="62">
        <f>A285+1</f>
        <v/>
      </c>
      <c r="B286" s="63">
        <f>IF(WEEKDAY(C286,2)=1,"Mo",IF(WEEKDAY(C286,2)=2,"Di",IF(WEEKDAY(C286,2)=3,"Mi",IF(WEEKDAY(C286,2)=4,"Do.",IF(WEEKDAY(C286,2)=5,"Fr.",IF(WEEKDAY(C286,2)=6,"Sa.","So"))))))</f>
        <v/>
      </c>
      <c r="C286" s="64">
        <f>C285+1</f>
        <v/>
      </c>
      <c r="D286" s="65" t="n"/>
      <c r="E286" s="97" t="n"/>
      <c r="F286" s="2" t="inlineStr">
        <is>
          <t>h</t>
        </is>
      </c>
      <c r="G286" s="96" t="n"/>
      <c r="H286" s="67" t="n"/>
      <c r="I286" s="86" t="n"/>
      <c r="J286" s="86" t="n"/>
      <c r="K286" s="86" t="n"/>
      <c r="L286" s="86" t="n"/>
    </row>
    <row r="287">
      <c r="A287" s="62">
        <f>A286+1</f>
        <v/>
      </c>
      <c r="B287" s="63">
        <f>IF(WEEKDAY(C287,2)=1,"Mo",IF(WEEKDAY(C287,2)=2,"Di",IF(WEEKDAY(C287,2)=3,"Mi",IF(WEEKDAY(C287,2)=4,"Do.",IF(WEEKDAY(C287,2)=5,"Fr.",IF(WEEKDAY(C287,2)=6,"Sa.","So"))))))</f>
        <v/>
      </c>
      <c r="C287" s="64">
        <f>C286+1</f>
        <v/>
      </c>
      <c r="D287" s="65" t="n"/>
      <c r="E287" s="97" t="n"/>
      <c r="F287" s="2" t="inlineStr">
        <is>
          <t>h</t>
        </is>
      </c>
      <c r="G287" s="96" t="n"/>
      <c r="H287" s="67" t="n"/>
      <c r="I287" s="86" t="n"/>
      <c r="J287" s="86" t="n"/>
      <c r="K287" s="86" t="n"/>
      <c r="L287" s="86" t="n"/>
    </row>
    <row r="288">
      <c r="A288" s="62">
        <f>A287+1</f>
        <v/>
      </c>
      <c r="B288" s="63">
        <f>IF(WEEKDAY(C288,2)=1,"Mo",IF(WEEKDAY(C288,2)=2,"Di",IF(WEEKDAY(C288,2)=3,"Mi",IF(WEEKDAY(C288,2)=4,"Do.",IF(WEEKDAY(C288,2)=5,"Fr.",IF(WEEKDAY(C288,2)=6,"Sa.","So"))))))</f>
        <v/>
      </c>
      <c r="C288" s="64">
        <f>C287+1</f>
        <v/>
      </c>
      <c r="D288" s="65" t="n"/>
      <c r="E288" s="97" t="n"/>
      <c r="F288" s="2" t="inlineStr">
        <is>
          <t>h</t>
        </is>
      </c>
      <c r="G288" s="96" t="n"/>
      <c r="H288" s="67" t="n"/>
      <c r="I288" s="86" t="n"/>
      <c r="J288" s="86" t="n"/>
      <c r="K288" s="86" t="n"/>
      <c r="L288" s="86" t="n"/>
    </row>
    <row r="289">
      <c r="A289" s="62">
        <f>A288+1</f>
        <v/>
      </c>
      <c r="B289" s="63">
        <f>IF(WEEKDAY(C289,2)=1,"Mo",IF(WEEKDAY(C289,2)=2,"Di",IF(WEEKDAY(C289,2)=3,"Mi",IF(WEEKDAY(C289,2)=4,"Do.",IF(WEEKDAY(C289,2)=5,"Fr.",IF(WEEKDAY(C289,2)=6,"Sa.","So"))))))</f>
        <v/>
      </c>
      <c r="C289" s="64">
        <f>C288+1</f>
        <v/>
      </c>
      <c r="D289" s="65" t="n"/>
      <c r="E289" s="97" t="n"/>
      <c r="F289" s="2" t="inlineStr">
        <is>
          <t>h</t>
        </is>
      </c>
      <c r="G289" s="96" t="n"/>
      <c r="H289" s="67" t="n"/>
      <c r="I289" s="86" t="n"/>
      <c r="J289" s="86" t="n"/>
      <c r="K289" s="86" t="n"/>
      <c r="L289" s="86" t="n"/>
    </row>
    <row r="290">
      <c r="A290" s="62">
        <f>A289+1</f>
        <v/>
      </c>
      <c r="B290" s="63">
        <f>IF(WEEKDAY(C290,2)=1,"Mo",IF(WEEKDAY(C290,2)=2,"Di",IF(WEEKDAY(C290,2)=3,"Mi",IF(WEEKDAY(C290,2)=4,"Do.",IF(WEEKDAY(C290,2)=5,"Fr.",IF(WEEKDAY(C290,2)=6,"Sa.","So"))))))</f>
        <v/>
      </c>
      <c r="C290" s="64">
        <f>C289+1</f>
        <v/>
      </c>
      <c r="D290" s="65" t="n"/>
      <c r="E290" s="97" t="n"/>
      <c r="F290" s="2" t="inlineStr">
        <is>
          <t>h</t>
        </is>
      </c>
      <c r="G290" s="96" t="n"/>
      <c r="H290" s="67" t="n"/>
      <c r="I290" s="86" t="n"/>
      <c r="J290" s="86" t="n"/>
      <c r="K290" s="86" t="n"/>
      <c r="L290" s="86" t="n"/>
    </row>
    <row r="291">
      <c r="A291" s="62">
        <f>A290+1</f>
        <v/>
      </c>
      <c r="B291" s="63">
        <f>IF(WEEKDAY(C291,2)=1,"Mo",IF(WEEKDAY(C291,2)=2,"Di",IF(WEEKDAY(C291,2)=3,"Mi",IF(WEEKDAY(C291,2)=4,"Do.",IF(WEEKDAY(C291,2)=5,"Fr.",IF(WEEKDAY(C291,2)=6,"Sa.","So"))))))</f>
        <v/>
      </c>
      <c r="C291" s="64">
        <f>C290+1</f>
        <v/>
      </c>
      <c r="D291" s="65" t="n"/>
      <c r="E291" s="97" t="n"/>
      <c r="F291" s="2" t="inlineStr">
        <is>
          <t>h</t>
        </is>
      </c>
      <c r="G291" s="96" t="n"/>
      <c r="H291" s="67" t="n"/>
      <c r="I291" s="86" t="n"/>
      <c r="J291" s="86" t="n"/>
      <c r="K291" s="86" t="n"/>
      <c r="L291" s="86" t="n"/>
    </row>
    <row r="292">
      <c r="A292" s="62">
        <f>A291+1</f>
        <v/>
      </c>
      <c r="B292" s="63">
        <f>IF(WEEKDAY(C292,2)=1,"Mo",IF(WEEKDAY(C292,2)=2,"Di",IF(WEEKDAY(C292,2)=3,"Mi",IF(WEEKDAY(C292,2)=4,"Do.",IF(WEEKDAY(C292,2)=5,"Fr.",IF(WEEKDAY(C292,2)=6,"Sa.","So"))))))</f>
        <v/>
      </c>
      <c r="C292" s="64">
        <f>C291+1</f>
        <v/>
      </c>
      <c r="D292" s="65" t="n"/>
      <c r="E292" s="97" t="n"/>
      <c r="F292" s="2" t="inlineStr">
        <is>
          <t>h</t>
        </is>
      </c>
      <c r="G292" s="96" t="n"/>
      <c r="H292" s="67" t="n"/>
      <c r="I292" s="86" t="n"/>
      <c r="J292" s="86" t="n"/>
      <c r="K292" s="86" t="n"/>
      <c r="L292" s="86" t="n"/>
    </row>
    <row r="293">
      <c r="A293" s="62">
        <f>A292+1</f>
        <v/>
      </c>
      <c r="B293" s="63">
        <f>IF(WEEKDAY(C293,2)=1,"Mo",IF(WEEKDAY(C293,2)=2,"Di",IF(WEEKDAY(C293,2)=3,"Mi",IF(WEEKDAY(C293,2)=4,"Do.",IF(WEEKDAY(C293,2)=5,"Fr.",IF(WEEKDAY(C293,2)=6,"Sa.","So"))))))</f>
        <v/>
      </c>
      <c r="C293" s="64">
        <f>C292+1</f>
        <v/>
      </c>
      <c r="D293" s="65" t="n"/>
      <c r="E293" s="97" t="n"/>
      <c r="F293" s="2" t="inlineStr">
        <is>
          <t>h</t>
        </is>
      </c>
      <c r="G293" s="96" t="n"/>
      <c r="H293" s="67" t="n"/>
      <c r="I293" s="86" t="n"/>
      <c r="J293" s="86" t="n"/>
      <c r="K293" s="86" t="n"/>
      <c r="L293" s="86" t="n"/>
    </row>
    <row r="294">
      <c r="A294" s="62">
        <f>A293+1</f>
        <v/>
      </c>
      <c r="B294" s="63">
        <f>IF(WEEKDAY(C294,2)=1,"Mo",IF(WEEKDAY(C294,2)=2,"Di",IF(WEEKDAY(C294,2)=3,"Mi",IF(WEEKDAY(C294,2)=4,"Do.",IF(WEEKDAY(C294,2)=5,"Fr.",IF(WEEKDAY(C294,2)=6,"Sa.","So"))))))</f>
        <v/>
      </c>
      <c r="C294" s="64">
        <f>C293+1</f>
        <v/>
      </c>
      <c r="D294" s="65" t="n"/>
      <c r="E294" s="97" t="n"/>
      <c r="F294" s="2" t="inlineStr">
        <is>
          <t>h</t>
        </is>
      </c>
      <c r="G294" s="96" t="n"/>
      <c r="H294" s="67" t="n"/>
      <c r="I294" s="86" t="n"/>
      <c r="J294" s="86" t="n"/>
      <c r="K294" s="86" t="n"/>
      <c r="L294" s="86" t="n"/>
    </row>
    <row r="295">
      <c r="A295" s="62">
        <f>A294+1</f>
        <v/>
      </c>
      <c r="B295" s="63">
        <f>IF(WEEKDAY(C295,2)=1,"Mo",IF(WEEKDAY(C295,2)=2,"Di",IF(WEEKDAY(C295,2)=3,"Mi",IF(WEEKDAY(C295,2)=4,"Do.",IF(WEEKDAY(C295,2)=5,"Fr.",IF(WEEKDAY(C295,2)=6,"Sa.","So"))))))</f>
        <v/>
      </c>
      <c r="C295" s="64">
        <f>C294+1</f>
        <v/>
      </c>
      <c r="D295" s="65" t="n"/>
      <c r="E295" s="97" t="n"/>
      <c r="F295" s="2" t="inlineStr">
        <is>
          <t>h</t>
        </is>
      </c>
      <c r="G295" s="96" t="n"/>
      <c r="H295" s="67" t="n"/>
      <c r="I295" s="86" t="n"/>
      <c r="J295" s="86" t="n"/>
      <c r="K295" s="86" t="n"/>
      <c r="L295" s="86" t="n"/>
    </row>
    <row r="296">
      <c r="A296" s="62">
        <f>A295+1</f>
        <v/>
      </c>
      <c r="B296" s="63">
        <f>IF(WEEKDAY(C296,2)=1,"Mo",IF(WEEKDAY(C296,2)=2,"Di",IF(WEEKDAY(C296,2)=3,"Mi",IF(WEEKDAY(C296,2)=4,"Do.",IF(WEEKDAY(C296,2)=5,"Fr.",IF(WEEKDAY(C296,2)=6,"Sa.","So"))))))</f>
        <v/>
      </c>
      <c r="C296" s="64">
        <f>C295+1</f>
        <v/>
      </c>
      <c r="D296" s="65" t="n"/>
      <c r="E296" s="97" t="n"/>
      <c r="F296" s="2" t="inlineStr">
        <is>
          <t>h</t>
        </is>
      </c>
      <c r="G296" s="96" t="n"/>
      <c r="H296" s="67" t="n"/>
      <c r="I296" s="86" t="n"/>
      <c r="J296" s="86" t="n"/>
      <c r="K296" s="86" t="n"/>
      <c r="L296" s="86" t="n"/>
    </row>
    <row r="297">
      <c r="A297" s="62">
        <f>A296+1</f>
        <v/>
      </c>
      <c r="B297" s="63">
        <f>IF(WEEKDAY(C297,2)=1,"Mo",IF(WEEKDAY(C297,2)=2,"Di",IF(WEEKDAY(C297,2)=3,"Mi",IF(WEEKDAY(C297,2)=4,"Do.",IF(WEEKDAY(C297,2)=5,"Fr.",IF(WEEKDAY(C297,2)=6,"Sa.","So"))))))</f>
        <v/>
      </c>
      <c r="C297" s="64">
        <f>C296+1</f>
        <v/>
      </c>
      <c r="D297" s="65" t="n"/>
      <c r="E297" s="97" t="n"/>
      <c r="F297" s="2" t="inlineStr">
        <is>
          <t>h</t>
        </is>
      </c>
      <c r="G297" s="96" t="n"/>
      <c r="H297" s="67" t="n"/>
      <c r="I297" s="86" t="n"/>
      <c r="J297" s="86" t="n"/>
      <c r="K297" s="86" t="n"/>
      <c r="L297" s="86" t="n"/>
    </row>
    <row r="298">
      <c r="A298" s="62">
        <f>A297+1</f>
        <v/>
      </c>
      <c r="B298" s="63">
        <f>IF(WEEKDAY(C298,2)=1,"Mo",IF(WEEKDAY(C298,2)=2,"Di",IF(WEEKDAY(C298,2)=3,"Mi",IF(WEEKDAY(C298,2)=4,"Do.",IF(WEEKDAY(C298,2)=5,"Fr.",IF(WEEKDAY(C298,2)=6,"Sa.","So"))))))</f>
        <v/>
      </c>
      <c r="C298" s="64">
        <f>C297+1</f>
        <v/>
      </c>
      <c r="D298" s="65" t="n"/>
      <c r="E298" s="97" t="n"/>
      <c r="F298" s="2" t="inlineStr">
        <is>
          <t>h</t>
        </is>
      </c>
      <c r="G298" s="96" t="n"/>
      <c r="H298" s="67" t="n"/>
      <c r="I298" s="86" t="n"/>
      <c r="J298" s="86" t="n"/>
      <c r="K298" s="86" t="n"/>
      <c r="L298" s="86" t="n"/>
    </row>
    <row r="299">
      <c r="A299" s="62">
        <f>A298+1</f>
        <v/>
      </c>
      <c r="B299" s="63">
        <f>IF(WEEKDAY(C299,2)=1,"Mo",IF(WEEKDAY(C299,2)=2,"Di",IF(WEEKDAY(C299,2)=3,"Mi",IF(WEEKDAY(C299,2)=4,"Do.",IF(WEEKDAY(C299,2)=5,"Fr.",IF(WEEKDAY(C299,2)=6,"Sa.","So"))))))</f>
        <v/>
      </c>
      <c r="C299" s="64">
        <f>C298+1</f>
        <v/>
      </c>
      <c r="D299" s="65" t="n"/>
      <c r="E299" s="97" t="n"/>
      <c r="F299" s="2" t="inlineStr">
        <is>
          <t>h</t>
        </is>
      </c>
      <c r="G299" s="96" t="n"/>
      <c r="H299" s="67" t="n"/>
      <c r="I299" s="86" t="n"/>
      <c r="J299" s="86" t="n"/>
      <c r="K299" s="86" t="n"/>
      <c r="L299" s="86" t="n"/>
    </row>
    <row r="300">
      <c r="A300" s="62">
        <f>A299+1</f>
        <v/>
      </c>
      <c r="B300" s="63">
        <f>IF(WEEKDAY(C300,2)=1,"Mo",IF(WEEKDAY(C300,2)=2,"Di",IF(WEEKDAY(C300,2)=3,"Mi",IF(WEEKDAY(C300,2)=4,"Do.",IF(WEEKDAY(C300,2)=5,"Fr.",IF(WEEKDAY(C300,2)=6,"Sa.","So"))))))</f>
        <v/>
      </c>
      <c r="C300" s="64">
        <f>C299+1</f>
        <v/>
      </c>
      <c r="D300" s="65" t="n"/>
      <c r="E300" s="97" t="n"/>
      <c r="F300" s="2" t="inlineStr">
        <is>
          <t>h</t>
        </is>
      </c>
      <c r="G300" s="96" t="n"/>
      <c r="H300" s="67" t="n"/>
      <c r="I300" s="86" t="n"/>
      <c r="J300" s="86" t="n"/>
      <c r="K300" s="86" t="n"/>
      <c r="L300" s="86" t="n"/>
    </row>
    <row r="301" ht="14.25" customHeight="1" thickBot="1">
      <c r="A301" s="69">
        <f>A300+1</f>
        <v/>
      </c>
      <c r="B301" s="70">
        <f>IF(WEEKDAY(C301,2)=1,"Mo",IF(WEEKDAY(C301,2)=2,"Di",IF(WEEKDAY(C301,2)=3,"Mi",IF(WEEKDAY(C301,2)=4,"Do.",IF(WEEKDAY(C301,2)=5,"Fr.",IF(WEEKDAY(C301,2)=6,"Sa.","So"))))))</f>
        <v/>
      </c>
      <c r="C301" s="71">
        <f>C300+1</f>
        <v/>
      </c>
      <c r="D301" s="72" t="n"/>
      <c r="E301" s="73" t="n"/>
      <c r="F301" s="11" t="inlineStr">
        <is>
          <t>h</t>
        </is>
      </c>
      <c r="G301" s="13" t="n"/>
      <c r="H301" s="74" t="n"/>
      <c r="I301" s="86" t="n"/>
      <c r="J301" s="86" t="n"/>
      <c r="K301" s="86" t="n"/>
      <c r="L301" s="86" t="n"/>
      <c r="N301" s="49" t="n"/>
      <c r="O301" s="50" t="inlineStr">
        <is>
          <t xml:space="preserve">Hier sollte der letzte Seitenumbruch (Seite 6 Ende) zu sehen sein.  (Reiter "Ansicht &gt; Umbruchsvorschau) </t>
        </is>
      </c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</row>
    <row r="302">
      <c r="A302" s="88" t="n"/>
      <c r="B302" s="88" t="n"/>
      <c r="C302" s="88" t="n"/>
      <c r="D302" s="88" t="n"/>
      <c r="E302" s="88" t="n"/>
      <c r="F302" s="37" t="n"/>
      <c r="G302" s="37" t="n"/>
      <c r="H302" s="88" t="n"/>
      <c r="I302" s="88" t="n"/>
      <c r="J302" s="88" t="n"/>
      <c r="K302" s="88" t="n"/>
      <c r="L302" s="88" t="n"/>
      <c r="N302" s="48" t="n"/>
      <c r="O302" s="1" t="inlineStr">
        <is>
          <t>Sie könne mit der Maus den Umbruch verschieben.</t>
        </is>
      </c>
    </row>
    <row r="303">
      <c r="A303" s="110">
        <f>Student_Name</f>
        <v/>
      </c>
      <c r="B303" s="116" t="n"/>
      <c r="C303" s="116" t="n"/>
      <c r="D303" s="116" t="n"/>
      <c r="E303" s="116" t="n"/>
      <c r="F303" s="116" t="n"/>
      <c r="G303" s="100" t="n"/>
      <c r="H303" s="110">
        <f>Ausbildungsbetrieb_Unternehmen</f>
        <v/>
      </c>
      <c r="I303" s="87" t="n"/>
      <c r="J303" s="87" t="n"/>
      <c r="K303" s="87" t="n"/>
      <c r="L303" s="87" t="n"/>
    </row>
    <row r="304">
      <c r="A304" s="76" t="inlineStr">
        <is>
          <t>Name</t>
        </is>
      </c>
      <c r="B304" s="76" t="n"/>
      <c r="C304" s="76" t="n"/>
      <c r="D304" s="76" t="n"/>
      <c r="E304" s="76" t="n"/>
      <c r="F304" s="28" t="n"/>
      <c r="G304" s="28" t="n"/>
      <c r="H304" s="76" t="inlineStr">
        <is>
          <t>Ausbildungsbetrieb</t>
        </is>
      </c>
      <c r="I304" s="76" t="n"/>
      <c r="J304" s="76" t="n"/>
      <c r="K304" s="76" t="n"/>
      <c r="L304" s="76" t="n"/>
    </row>
    <row r="305">
      <c r="A305" s="87" t="n"/>
      <c r="B305" s="87" t="n"/>
      <c r="C305" s="87" t="n"/>
      <c r="D305" s="87" t="n"/>
      <c r="E305" s="87" t="n"/>
      <c r="F305" s="100" t="n"/>
      <c r="G305" s="100" t="n"/>
      <c r="H305" s="87" t="n"/>
      <c r="I305" s="87" t="n"/>
      <c r="J305" s="87" t="n"/>
      <c r="K305" s="87" t="n"/>
      <c r="L305" s="87" t="n"/>
    </row>
    <row r="306">
      <c r="A306" s="110">
        <f>Student_Vorname</f>
        <v/>
      </c>
      <c r="B306" s="116" t="n"/>
      <c r="C306" s="116" t="n"/>
      <c r="D306" s="116" t="n"/>
      <c r="E306" s="116" t="n"/>
      <c r="F306" s="116" t="n"/>
      <c r="G306" s="100" t="n"/>
      <c r="H306" s="110">
        <f>CONCATENATE(Ausbildungsbetrieb_Vorname, " ", Ausbildungsbetrieb_Name)</f>
        <v/>
      </c>
      <c r="I306" s="87" t="n"/>
      <c r="J306" s="87" t="n"/>
      <c r="K306" s="87" t="n"/>
      <c r="L306" s="87" t="n"/>
    </row>
    <row r="307">
      <c r="A307" s="76" t="inlineStr">
        <is>
          <t>Vorname</t>
        </is>
      </c>
      <c r="B307" s="76" t="n"/>
      <c r="C307" s="76" t="n"/>
      <c r="D307" s="76" t="n"/>
      <c r="E307" s="76" t="n"/>
      <c r="F307" s="28" t="n"/>
      <c r="G307" s="28" t="n"/>
      <c r="H307" s="76" t="inlineStr">
        <is>
          <t>Ansprechpartner im Betrieb</t>
        </is>
      </c>
      <c r="I307" s="76" t="n"/>
      <c r="J307" s="76" t="n"/>
      <c r="K307" s="76" t="n"/>
      <c r="L307" s="76" t="n"/>
    </row>
    <row r="308">
      <c r="A308" s="87" t="n"/>
      <c r="B308" s="87" t="n"/>
      <c r="C308" s="87" t="n"/>
      <c r="D308" s="87" t="n"/>
      <c r="E308" s="87" t="n"/>
      <c r="F308" s="100" t="n"/>
      <c r="G308" s="100" t="n"/>
      <c r="H308" s="87" t="n"/>
      <c r="I308" s="87" t="n"/>
      <c r="J308" s="87" t="n"/>
      <c r="K308" s="87" t="n"/>
      <c r="L308" s="87" t="n"/>
    </row>
    <row r="309">
      <c r="A309" s="110">
        <f>Student_Studiengruppe</f>
        <v/>
      </c>
      <c r="B309" s="116" t="n"/>
      <c r="C309" s="116" t="n"/>
      <c r="D309" s="116" t="n"/>
      <c r="E309" s="116" t="n"/>
      <c r="F309" s="116" t="n"/>
      <c r="G309" s="100" t="n"/>
      <c r="H309" s="110">
        <f>Ausbildungsbetrieb_Email</f>
        <v/>
      </c>
      <c r="I309" s="87" t="n"/>
      <c r="J309" s="87" t="n"/>
      <c r="K309" s="87" t="n"/>
      <c r="L309" s="87" t="n"/>
    </row>
    <row r="310">
      <c r="A310" s="76" t="inlineStr">
        <is>
          <t>Studiengruppe</t>
        </is>
      </c>
      <c r="B310" s="76" t="n"/>
      <c r="C310" s="76" t="n"/>
      <c r="D310" s="76" t="n"/>
      <c r="E310" s="76" t="n"/>
      <c r="F310" s="28" t="n"/>
      <c r="G310" s="28" t="n"/>
      <c r="H310" s="76" t="inlineStr">
        <is>
          <t>Email Ansprechpartner</t>
        </is>
      </c>
      <c r="I310" s="76" t="n"/>
      <c r="J310" s="76" t="n"/>
      <c r="K310" s="76" t="n"/>
      <c r="L310" s="76" t="n"/>
    </row>
    <row r="311">
      <c r="A311" s="87" t="n"/>
      <c r="B311" s="87" t="n"/>
      <c r="C311" s="87" t="n"/>
      <c r="D311" s="87" t="n"/>
      <c r="E311" s="87" t="n"/>
      <c r="F311" s="100" t="n"/>
      <c r="G311" s="100" t="n"/>
      <c r="H311" s="87" t="n"/>
      <c r="I311" s="87" t="n"/>
      <c r="J311" s="87" t="n"/>
      <c r="K311" s="87" t="n"/>
      <c r="L311" s="87" t="n"/>
    </row>
    <row r="312">
      <c r="A312" s="110">
        <f>Student_Matrikelnummer</f>
        <v/>
      </c>
      <c r="B312" s="116" t="n"/>
      <c r="C312" s="116" t="n"/>
      <c r="D312" s="116" t="n"/>
      <c r="E312" s="116" t="n"/>
      <c r="F312" s="116" t="n"/>
      <c r="G312" s="100" t="n"/>
      <c r="H312" s="110">
        <f>Ausbildungsbetrieb_Telefon</f>
        <v/>
      </c>
      <c r="I312" s="87" t="n"/>
      <c r="J312" s="87" t="n"/>
      <c r="K312" s="87" t="n"/>
      <c r="L312" s="87" t="n"/>
    </row>
    <row r="313">
      <c r="A313" s="76" t="inlineStr">
        <is>
          <t>Matrikelnummer</t>
        </is>
      </c>
      <c r="B313" s="76" t="n"/>
      <c r="C313" s="76" t="n"/>
      <c r="D313" s="76" t="n"/>
      <c r="E313" s="76" t="n"/>
      <c r="F313" s="28" t="n"/>
      <c r="G313" s="28" t="n"/>
      <c r="H313" s="76" t="inlineStr">
        <is>
          <t>Telefon Ansprechpartner</t>
        </is>
      </c>
      <c r="I313" s="76" t="n"/>
      <c r="J313" s="76" t="n"/>
      <c r="K313" s="76" t="n"/>
      <c r="L313" s="76" t="n"/>
    </row>
    <row r="314" ht="14.25" customHeight="1" thickBot="1">
      <c r="A314" s="87" t="n"/>
      <c r="B314" s="87" t="n"/>
      <c r="C314" s="87" t="n"/>
      <c r="D314" s="87" t="n"/>
      <c r="E314" s="87" t="n"/>
      <c r="F314" s="100" t="n"/>
      <c r="G314" s="100" t="n"/>
      <c r="H314" s="87" t="n"/>
      <c r="I314" s="87" t="n"/>
      <c r="J314" s="87" t="n"/>
      <c r="K314" s="87" t="n"/>
      <c r="L314" s="87" t="n"/>
    </row>
    <row r="315">
      <c r="A315" s="78" t="n"/>
      <c r="B315" s="79" t="n"/>
      <c r="C315" s="79" t="n"/>
      <c r="D315" s="79" t="n"/>
      <c r="E315" s="79" t="inlineStr">
        <is>
          <t>Typ</t>
        </is>
      </c>
      <c r="F315" s="15" t="n"/>
      <c r="G315" s="15" t="n"/>
      <c r="H315" s="80" t="inlineStr">
        <is>
          <t>Vorlesung besucht?</t>
        </is>
      </c>
      <c r="I315" s="88" t="n"/>
      <c r="J315" s="88" t="n"/>
      <c r="K315" s="88" t="n"/>
      <c r="L315" s="88" t="n"/>
    </row>
    <row r="316" ht="14.25" customHeight="1" thickBot="1">
      <c r="A316" s="111" t="inlineStr">
        <is>
          <t>Tag</t>
        </is>
      </c>
      <c r="B316" s="117" t="n"/>
      <c r="C316" s="81" t="inlineStr">
        <is>
          <t>Datum</t>
        </is>
      </c>
      <c r="D316" s="81" t="n"/>
      <c r="E316" s="113" t="inlineStr">
        <is>
          <t>Anwesen-heitszeit im Betrieb</t>
        </is>
      </c>
      <c r="F316" s="117" t="n"/>
      <c r="G316" s="109" t="n"/>
      <c r="H316" s="82" t="inlineStr">
        <is>
          <t>genaue Angaben zu den Tätigkeiten</t>
        </is>
      </c>
      <c r="I316" s="88" t="n"/>
      <c r="J316" s="88" t="n"/>
      <c r="K316" s="88" t="n"/>
      <c r="L316" s="88" t="n"/>
    </row>
    <row r="317">
      <c r="A317" s="56">
        <f>A301+1</f>
        <v/>
      </c>
      <c r="B317" s="57">
        <f>IF(WEEKDAY(C317,2)=1,"Mo",IF(WEEKDAY(C317,2)=2,"Di",IF(WEEKDAY(C317,2)=3,"Mi",IF(WEEKDAY(C317,2)=4,"Do.",IF(WEEKDAY(C317,2)=5,"Fr.",IF(WEEKDAY(C317,2)=6,"Sa.","So"))))))</f>
        <v/>
      </c>
      <c r="C317" s="58">
        <f>C301+1</f>
        <v/>
      </c>
      <c r="D317" s="59" t="n"/>
      <c r="E317" s="60" t="n"/>
      <c r="F317" s="6" t="inlineStr">
        <is>
          <t>h</t>
        </is>
      </c>
      <c r="G317" s="8" t="n"/>
      <c r="H317" s="61" t="n"/>
      <c r="I317" s="86" t="n"/>
      <c r="J317" s="86" t="n"/>
      <c r="K317" s="86" t="n"/>
      <c r="L317" s="86" t="n"/>
    </row>
    <row r="318">
      <c r="A318" s="62">
        <f>A317+1</f>
        <v/>
      </c>
      <c r="B318" s="63">
        <f>IF(WEEKDAY(C318,2)=1,"Mo",IF(WEEKDAY(C318,2)=2,"Di",IF(WEEKDAY(C318,2)=3,"Mi",IF(WEEKDAY(C318,2)=4,"Do.",IF(WEEKDAY(C318,2)=5,"Fr.",IF(WEEKDAY(C318,2)=6,"Sa.","So"))))))</f>
        <v/>
      </c>
      <c r="C318" s="64">
        <f>C317+1</f>
        <v/>
      </c>
      <c r="D318" s="65" t="n"/>
      <c r="E318" s="97" t="n"/>
      <c r="F318" s="2" t="inlineStr">
        <is>
          <t>h</t>
        </is>
      </c>
      <c r="G318" s="96" t="n"/>
      <c r="H318" s="67" t="n"/>
      <c r="I318" s="86" t="n"/>
      <c r="J318" s="86" t="n"/>
      <c r="K318" s="86" t="n"/>
      <c r="L318" s="86" t="n"/>
    </row>
    <row r="319">
      <c r="A319" s="62">
        <f>A318+1</f>
        <v/>
      </c>
      <c r="B319" s="63">
        <f>IF(WEEKDAY(C319,2)=1,"Mo",IF(WEEKDAY(C319,2)=2,"Di",IF(WEEKDAY(C319,2)=3,"Mi",IF(WEEKDAY(C319,2)=4,"Do.",IF(WEEKDAY(C319,2)=5,"Fr.",IF(WEEKDAY(C319,2)=6,"Sa.","So"))))))</f>
        <v/>
      </c>
      <c r="C319" s="64">
        <f>C318+1</f>
        <v/>
      </c>
      <c r="D319" s="65" t="n"/>
      <c r="E319" s="97" t="n"/>
      <c r="F319" s="2" t="inlineStr">
        <is>
          <t>h</t>
        </is>
      </c>
      <c r="G319" s="96" t="n"/>
      <c r="H319" s="67" t="n"/>
      <c r="I319" s="86" t="n"/>
      <c r="J319" s="86" t="n"/>
      <c r="K319" s="86" t="n"/>
      <c r="L319" s="86" t="n"/>
    </row>
    <row r="320">
      <c r="A320" s="62">
        <f>A319+1</f>
        <v/>
      </c>
      <c r="B320" s="63">
        <f>IF(WEEKDAY(C320,2)=1,"Mo",IF(WEEKDAY(C320,2)=2,"Di",IF(WEEKDAY(C320,2)=3,"Mi",IF(WEEKDAY(C320,2)=4,"Do.",IF(WEEKDAY(C320,2)=5,"Fr.",IF(WEEKDAY(C320,2)=6,"Sa.","So"))))))</f>
        <v/>
      </c>
      <c r="C320" s="64">
        <f>C319+1</f>
        <v/>
      </c>
      <c r="D320" s="65" t="n"/>
      <c r="E320" s="97" t="n"/>
      <c r="F320" s="2" t="inlineStr">
        <is>
          <t>h</t>
        </is>
      </c>
      <c r="G320" s="96" t="n"/>
      <c r="H320" s="67" t="n"/>
      <c r="I320" s="86" t="n"/>
      <c r="J320" s="86" t="n"/>
      <c r="K320" s="86" t="n"/>
      <c r="L320" s="86" t="n"/>
    </row>
    <row r="321">
      <c r="A321" s="62">
        <f>A320+1</f>
        <v/>
      </c>
      <c r="B321" s="63">
        <f>IF(WEEKDAY(C321,2)=1,"Mo",IF(WEEKDAY(C321,2)=2,"Di",IF(WEEKDAY(C321,2)=3,"Mi",IF(WEEKDAY(C321,2)=4,"Do.",IF(WEEKDAY(C321,2)=5,"Fr.",IF(WEEKDAY(C321,2)=6,"Sa.","So"))))))</f>
        <v/>
      </c>
      <c r="C321" s="64">
        <f>C320+1</f>
        <v/>
      </c>
      <c r="D321" s="65" t="n"/>
      <c r="E321" s="97" t="n"/>
      <c r="F321" s="2" t="inlineStr">
        <is>
          <t>h</t>
        </is>
      </c>
      <c r="G321" s="96" t="n"/>
      <c r="H321" s="67" t="n"/>
      <c r="I321" s="86" t="n"/>
      <c r="J321" s="86" t="n"/>
      <c r="K321" s="86" t="n"/>
      <c r="L321" s="86" t="n"/>
    </row>
    <row r="322">
      <c r="A322" s="62">
        <f>A321+1</f>
        <v/>
      </c>
      <c r="B322" s="63">
        <f>IF(WEEKDAY(C322,2)=1,"Mo",IF(WEEKDAY(C322,2)=2,"Di",IF(WEEKDAY(C322,2)=3,"Mi",IF(WEEKDAY(C322,2)=4,"Do.",IF(WEEKDAY(C322,2)=5,"Fr.",IF(WEEKDAY(C322,2)=6,"Sa.","So"))))))</f>
        <v/>
      </c>
      <c r="C322" s="64">
        <f>C321+1</f>
        <v/>
      </c>
      <c r="D322" s="65" t="n"/>
      <c r="E322" s="97" t="n"/>
      <c r="F322" s="2" t="inlineStr">
        <is>
          <t>h</t>
        </is>
      </c>
      <c r="G322" s="96" t="n"/>
      <c r="H322" s="67" t="n"/>
      <c r="I322" s="86" t="n"/>
      <c r="J322" s="86" t="n"/>
      <c r="K322" s="86" t="n"/>
      <c r="L322" s="86" t="n"/>
    </row>
    <row r="323">
      <c r="A323" s="62">
        <f>A322+1</f>
        <v/>
      </c>
      <c r="B323" s="63">
        <f>IF(WEEKDAY(C323,2)=1,"Mo",IF(WEEKDAY(C323,2)=2,"Di",IF(WEEKDAY(C323,2)=3,"Mi",IF(WEEKDAY(C323,2)=4,"Do.",IF(WEEKDAY(C323,2)=5,"Fr.",IF(WEEKDAY(C323,2)=6,"Sa.","So"))))))</f>
        <v/>
      </c>
      <c r="C323" s="64">
        <f>C322+1</f>
        <v/>
      </c>
      <c r="D323" s="65" t="n"/>
      <c r="E323" s="97" t="n"/>
      <c r="F323" s="2" t="inlineStr">
        <is>
          <t>h</t>
        </is>
      </c>
      <c r="G323" s="96" t="n"/>
      <c r="H323" s="67" t="n"/>
      <c r="I323" s="86" t="n"/>
      <c r="J323" s="86" t="n"/>
      <c r="K323" s="86" t="n"/>
      <c r="L323" s="86" t="n"/>
    </row>
    <row r="324">
      <c r="A324" s="62">
        <f>A323+1</f>
        <v/>
      </c>
      <c r="B324" s="63">
        <f>IF(WEEKDAY(C324,2)=1,"Mo",IF(WEEKDAY(C324,2)=2,"Di",IF(WEEKDAY(C324,2)=3,"Mi",IF(WEEKDAY(C324,2)=4,"Do.",IF(WEEKDAY(C324,2)=5,"Fr.",IF(WEEKDAY(C324,2)=6,"Sa.","So"))))))</f>
        <v/>
      </c>
      <c r="C324" s="64">
        <f>C323+1</f>
        <v/>
      </c>
      <c r="D324" s="65" t="n"/>
      <c r="E324" s="97" t="n"/>
      <c r="F324" s="2" t="inlineStr">
        <is>
          <t>h</t>
        </is>
      </c>
      <c r="G324" s="96" t="n"/>
      <c r="H324" s="67" t="n"/>
      <c r="I324" s="86" t="n"/>
      <c r="J324" s="86" t="n"/>
      <c r="K324" s="86" t="n"/>
      <c r="L324" s="86" t="n"/>
    </row>
    <row r="325">
      <c r="A325" s="62">
        <f>A324+1</f>
        <v/>
      </c>
      <c r="B325" s="63">
        <f>IF(WEEKDAY(C325,2)=1,"Mo",IF(WEEKDAY(C325,2)=2,"Di",IF(WEEKDAY(C325,2)=3,"Mi",IF(WEEKDAY(C325,2)=4,"Do.",IF(WEEKDAY(C325,2)=5,"Fr.",IF(WEEKDAY(C325,2)=6,"Sa.","So"))))))</f>
        <v/>
      </c>
      <c r="C325" s="64">
        <f>C324+1</f>
        <v/>
      </c>
      <c r="D325" s="65" t="n"/>
      <c r="E325" s="97" t="n"/>
      <c r="F325" s="2" t="inlineStr">
        <is>
          <t>h</t>
        </is>
      </c>
      <c r="G325" s="96" t="n"/>
      <c r="H325" s="67" t="n"/>
      <c r="I325" s="86" t="n"/>
      <c r="J325" s="86" t="n"/>
      <c r="K325" s="86" t="n"/>
      <c r="L325" s="86" t="n"/>
    </row>
    <row r="326">
      <c r="A326" s="62">
        <f>A325+1</f>
        <v/>
      </c>
      <c r="B326" s="63">
        <f>IF(WEEKDAY(C326,2)=1,"Mo",IF(WEEKDAY(C326,2)=2,"Di",IF(WEEKDAY(C326,2)=3,"Mi",IF(WEEKDAY(C326,2)=4,"Do.",IF(WEEKDAY(C326,2)=5,"Fr.",IF(WEEKDAY(C326,2)=6,"Sa.","So"))))))</f>
        <v/>
      </c>
      <c r="C326" s="64">
        <f>C325+1</f>
        <v/>
      </c>
      <c r="D326" s="65" t="n"/>
      <c r="E326" s="97" t="n"/>
      <c r="F326" s="2" t="inlineStr">
        <is>
          <t>h</t>
        </is>
      </c>
      <c r="G326" s="96" t="n"/>
      <c r="H326" s="67" t="n"/>
      <c r="I326" s="86" t="n"/>
      <c r="J326" s="86" t="n"/>
      <c r="K326" s="86" t="n"/>
      <c r="L326" s="86" t="n"/>
    </row>
    <row r="327">
      <c r="A327" s="62">
        <f>A326+1</f>
        <v/>
      </c>
      <c r="B327" s="63">
        <f>IF(WEEKDAY(C327,2)=1,"Mo",IF(WEEKDAY(C327,2)=2,"Di",IF(WEEKDAY(C327,2)=3,"Mi",IF(WEEKDAY(C327,2)=4,"Do.",IF(WEEKDAY(C327,2)=5,"Fr.",IF(WEEKDAY(C327,2)=6,"Sa.","So"))))))</f>
        <v/>
      </c>
      <c r="C327" s="64">
        <f>C326+1</f>
        <v/>
      </c>
      <c r="D327" s="65" t="n"/>
      <c r="E327" s="97" t="n"/>
      <c r="F327" s="2" t="inlineStr">
        <is>
          <t>h</t>
        </is>
      </c>
      <c r="G327" s="96" t="n"/>
      <c r="H327" s="67" t="n"/>
      <c r="I327" s="86" t="n"/>
      <c r="J327" s="86" t="n"/>
      <c r="K327" s="86" t="n"/>
      <c r="L327" s="86" t="n"/>
    </row>
    <row r="328">
      <c r="A328" s="62">
        <f>A327+1</f>
        <v/>
      </c>
      <c r="B328" s="63">
        <f>IF(WEEKDAY(C328,2)=1,"Mo",IF(WEEKDAY(C328,2)=2,"Di",IF(WEEKDAY(C328,2)=3,"Mi",IF(WEEKDAY(C328,2)=4,"Do.",IF(WEEKDAY(C328,2)=5,"Fr.",IF(WEEKDAY(C328,2)=6,"Sa.","So"))))))</f>
        <v/>
      </c>
      <c r="C328" s="64">
        <f>C327+1</f>
        <v/>
      </c>
      <c r="D328" s="65" t="n"/>
      <c r="E328" s="97" t="n"/>
      <c r="F328" s="2" t="inlineStr">
        <is>
          <t>h</t>
        </is>
      </c>
      <c r="G328" s="96" t="n"/>
      <c r="H328" s="67" t="n"/>
      <c r="I328" s="86" t="n"/>
      <c r="J328" s="86" t="n"/>
      <c r="K328" s="86" t="n"/>
      <c r="L328" s="86" t="n"/>
    </row>
    <row r="329">
      <c r="A329" s="62">
        <f>A328+1</f>
        <v/>
      </c>
      <c r="B329" s="63">
        <f>IF(WEEKDAY(C329,2)=1,"Mo",IF(WEEKDAY(C329,2)=2,"Di",IF(WEEKDAY(C329,2)=3,"Mi",IF(WEEKDAY(C329,2)=4,"Do.",IF(WEEKDAY(C329,2)=5,"Fr.",IF(WEEKDAY(C329,2)=6,"Sa.","So"))))))</f>
        <v/>
      </c>
      <c r="C329" s="64">
        <f>C328+1</f>
        <v/>
      </c>
      <c r="D329" s="65" t="n"/>
      <c r="E329" s="97" t="n"/>
      <c r="F329" s="2" t="inlineStr">
        <is>
          <t>h</t>
        </is>
      </c>
      <c r="G329" s="96" t="n"/>
      <c r="H329" s="67" t="n"/>
      <c r="I329" s="86" t="n"/>
      <c r="J329" s="86" t="n"/>
      <c r="K329" s="86" t="n"/>
      <c r="L329" s="86" t="n"/>
    </row>
    <row r="330">
      <c r="A330" s="62">
        <f>A329+1</f>
        <v/>
      </c>
      <c r="B330" s="63">
        <f>IF(WEEKDAY(C330,2)=1,"Mo",IF(WEEKDAY(C330,2)=2,"Di",IF(WEEKDAY(C330,2)=3,"Mi",IF(WEEKDAY(C330,2)=4,"Do.",IF(WEEKDAY(C330,2)=5,"Fr.",IF(WEEKDAY(C330,2)=6,"Sa.","So"))))))</f>
        <v/>
      </c>
      <c r="C330" s="64">
        <f>C329+1</f>
        <v/>
      </c>
      <c r="D330" s="65" t="n"/>
      <c r="E330" s="97" t="n"/>
      <c r="F330" s="2" t="inlineStr">
        <is>
          <t>h</t>
        </is>
      </c>
      <c r="G330" s="96" t="n"/>
      <c r="H330" s="67" t="n"/>
      <c r="I330" s="86" t="n"/>
      <c r="J330" s="86" t="n"/>
      <c r="K330" s="86" t="n"/>
      <c r="L330" s="86" t="n"/>
    </row>
    <row r="331">
      <c r="A331" s="62">
        <f>A330+1</f>
        <v/>
      </c>
      <c r="B331" s="63">
        <f>IF(WEEKDAY(C331,2)=1,"Mo",IF(WEEKDAY(C331,2)=2,"Di",IF(WEEKDAY(C331,2)=3,"Mi",IF(WEEKDAY(C331,2)=4,"Do.",IF(WEEKDAY(C331,2)=5,"Fr.",IF(WEEKDAY(C331,2)=6,"Sa.","So"))))))</f>
        <v/>
      </c>
      <c r="C331" s="64">
        <f>C330+1</f>
        <v/>
      </c>
      <c r="D331" s="65" t="n"/>
      <c r="E331" s="97" t="n"/>
      <c r="F331" s="2" t="inlineStr">
        <is>
          <t>h</t>
        </is>
      </c>
      <c r="G331" s="96" t="n"/>
      <c r="H331" s="67" t="n"/>
      <c r="I331" s="86" t="n"/>
      <c r="J331" s="86" t="n"/>
      <c r="K331" s="86" t="n"/>
      <c r="L331" s="86" t="n"/>
    </row>
    <row r="332">
      <c r="A332" s="62">
        <f>A331+1</f>
        <v/>
      </c>
      <c r="B332" s="63">
        <f>IF(WEEKDAY(C332,2)=1,"Mo",IF(WEEKDAY(C332,2)=2,"Di",IF(WEEKDAY(C332,2)=3,"Mi",IF(WEEKDAY(C332,2)=4,"Do.",IF(WEEKDAY(C332,2)=5,"Fr.",IF(WEEKDAY(C332,2)=6,"Sa.","So"))))))</f>
        <v/>
      </c>
      <c r="C332" s="64">
        <f>C331+1</f>
        <v/>
      </c>
      <c r="D332" s="65" t="n"/>
      <c r="E332" s="97" t="n"/>
      <c r="F332" s="2" t="inlineStr">
        <is>
          <t>h</t>
        </is>
      </c>
      <c r="G332" s="96" t="n"/>
      <c r="H332" s="67" t="n"/>
      <c r="I332" s="86" t="n"/>
      <c r="J332" s="86" t="n"/>
      <c r="K332" s="86" t="n"/>
      <c r="L332" s="86" t="n"/>
    </row>
    <row r="333">
      <c r="A333" s="62">
        <f>A332+1</f>
        <v/>
      </c>
      <c r="B333" s="63">
        <f>IF(WEEKDAY(C333,2)=1,"Mo",IF(WEEKDAY(C333,2)=2,"Di",IF(WEEKDAY(C333,2)=3,"Mi",IF(WEEKDAY(C333,2)=4,"Do.",IF(WEEKDAY(C333,2)=5,"Fr.",IF(WEEKDAY(C333,2)=6,"Sa.","So"))))))</f>
        <v/>
      </c>
      <c r="C333" s="64">
        <f>C332+1</f>
        <v/>
      </c>
      <c r="D333" s="65" t="n"/>
      <c r="E333" s="97" t="n"/>
      <c r="F333" s="2" t="inlineStr">
        <is>
          <t>h</t>
        </is>
      </c>
      <c r="G333" s="96" t="n"/>
      <c r="H333" s="67" t="n"/>
      <c r="I333" s="86" t="n"/>
      <c r="J333" s="86" t="n"/>
      <c r="K333" s="86" t="n"/>
      <c r="L333" s="86" t="n"/>
    </row>
    <row r="334">
      <c r="A334" s="62">
        <f>A333+1</f>
        <v/>
      </c>
      <c r="B334" s="63">
        <f>IF(WEEKDAY(C334,2)=1,"Mo",IF(WEEKDAY(C334,2)=2,"Di",IF(WEEKDAY(C334,2)=3,"Mi",IF(WEEKDAY(C334,2)=4,"Do.",IF(WEEKDAY(C334,2)=5,"Fr.",IF(WEEKDAY(C334,2)=6,"Sa.","So"))))))</f>
        <v/>
      </c>
      <c r="C334" s="64">
        <f>C333+1</f>
        <v/>
      </c>
      <c r="D334" s="65" t="n"/>
      <c r="E334" s="97" t="n"/>
      <c r="F334" s="2" t="inlineStr">
        <is>
          <t>h</t>
        </is>
      </c>
      <c r="G334" s="96" t="n"/>
      <c r="H334" s="67" t="n"/>
      <c r="I334" s="86" t="n"/>
      <c r="J334" s="86" t="n"/>
      <c r="K334" s="86" t="n"/>
      <c r="L334" s="86" t="n"/>
    </row>
    <row r="335">
      <c r="A335" s="62">
        <f>A334+1</f>
        <v/>
      </c>
      <c r="B335" s="63">
        <f>IF(WEEKDAY(C335,2)=1,"Mo",IF(WEEKDAY(C335,2)=2,"Di",IF(WEEKDAY(C335,2)=3,"Mi",IF(WEEKDAY(C335,2)=4,"Do.",IF(WEEKDAY(C335,2)=5,"Fr.",IF(WEEKDAY(C335,2)=6,"Sa.","So"))))))</f>
        <v/>
      </c>
      <c r="C335" s="64">
        <f>C334+1</f>
        <v/>
      </c>
      <c r="D335" s="65" t="n"/>
      <c r="E335" s="97" t="n"/>
      <c r="F335" s="2" t="inlineStr">
        <is>
          <t>h</t>
        </is>
      </c>
      <c r="G335" s="96" t="n"/>
      <c r="H335" s="67" t="n"/>
      <c r="I335" s="86" t="n"/>
      <c r="J335" s="86" t="n"/>
      <c r="K335" s="86" t="n"/>
      <c r="L335" s="86" t="n"/>
    </row>
    <row r="336">
      <c r="A336" s="62">
        <f>A335+1</f>
        <v/>
      </c>
      <c r="B336" s="63">
        <f>IF(WEEKDAY(C336,2)=1,"Mo",IF(WEEKDAY(C336,2)=2,"Di",IF(WEEKDAY(C336,2)=3,"Mi",IF(WEEKDAY(C336,2)=4,"Do.",IF(WEEKDAY(C336,2)=5,"Fr.",IF(WEEKDAY(C336,2)=6,"Sa.","So"))))))</f>
        <v/>
      </c>
      <c r="C336" s="64">
        <f>C335+1</f>
        <v/>
      </c>
      <c r="D336" s="65" t="n"/>
      <c r="E336" s="97" t="n"/>
      <c r="F336" s="2" t="inlineStr">
        <is>
          <t>h</t>
        </is>
      </c>
      <c r="G336" s="96" t="n"/>
      <c r="H336" s="67" t="n"/>
      <c r="I336" s="86" t="n"/>
      <c r="J336" s="86" t="n"/>
      <c r="K336" s="86" t="n"/>
      <c r="L336" s="86" t="n"/>
    </row>
    <row r="337">
      <c r="A337" s="62">
        <f>A336+1</f>
        <v/>
      </c>
      <c r="B337" s="63">
        <f>IF(WEEKDAY(C337,2)=1,"Mo",IF(WEEKDAY(C337,2)=2,"Di",IF(WEEKDAY(C337,2)=3,"Mi",IF(WEEKDAY(C337,2)=4,"Do.",IF(WEEKDAY(C337,2)=5,"Fr.",IF(WEEKDAY(C337,2)=6,"Sa.","So"))))))</f>
        <v/>
      </c>
      <c r="C337" s="64">
        <f>C336+1</f>
        <v/>
      </c>
      <c r="D337" s="65" t="n"/>
      <c r="E337" s="97" t="n"/>
      <c r="F337" s="2" t="inlineStr">
        <is>
          <t>h</t>
        </is>
      </c>
      <c r="G337" s="96" t="n"/>
      <c r="H337" s="67" t="n"/>
      <c r="I337" s="86" t="n"/>
      <c r="J337" s="86" t="n"/>
      <c r="K337" s="86" t="n"/>
      <c r="L337" s="86" t="n"/>
    </row>
    <row r="338">
      <c r="A338" s="62">
        <f>A337+1</f>
        <v/>
      </c>
      <c r="B338" s="63">
        <f>IF(WEEKDAY(C338,2)=1,"Mo",IF(WEEKDAY(C338,2)=2,"Di",IF(WEEKDAY(C338,2)=3,"Mi",IF(WEEKDAY(C338,2)=4,"Do.",IF(WEEKDAY(C338,2)=5,"Fr.",IF(WEEKDAY(C338,2)=6,"Sa.","So"))))))</f>
        <v/>
      </c>
      <c r="C338" s="64">
        <f>C337+1</f>
        <v/>
      </c>
      <c r="D338" s="65" t="n"/>
      <c r="E338" s="97" t="n"/>
      <c r="F338" s="2" t="inlineStr">
        <is>
          <t>h</t>
        </is>
      </c>
      <c r="G338" s="96" t="n"/>
      <c r="H338" s="67" t="n"/>
      <c r="I338" s="86" t="n"/>
      <c r="J338" s="86" t="n"/>
      <c r="K338" s="86" t="n"/>
      <c r="L338" s="86" t="n"/>
    </row>
    <row r="339">
      <c r="A339" s="62">
        <f>A338+1</f>
        <v/>
      </c>
      <c r="B339" s="63">
        <f>IF(WEEKDAY(C339,2)=1,"Mo",IF(WEEKDAY(C339,2)=2,"Di",IF(WEEKDAY(C339,2)=3,"Mi",IF(WEEKDAY(C339,2)=4,"Do.",IF(WEEKDAY(C339,2)=5,"Fr.",IF(WEEKDAY(C339,2)=6,"Sa.","So"))))))</f>
        <v/>
      </c>
      <c r="C339" s="64">
        <f>C338+1</f>
        <v/>
      </c>
      <c r="D339" s="65" t="n"/>
      <c r="E339" s="97" t="n"/>
      <c r="F339" s="2" t="inlineStr">
        <is>
          <t>h</t>
        </is>
      </c>
      <c r="G339" s="96" t="n"/>
      <c r="H339" s="67" t="n"/>
      <c r="I339" s="86" t="n"/>
      <c r="J339" s="86" t="n"/>
      <c r="K339" s="86" t="n"/>
      <c r="L339" s="86" t="n"/>
    </row>
    <row r="340">
      <c r="A340" s="62">
        <f>A339+1</f>
        <v/>
      </c>
      <c r="B340" s="63">
        <f>IF(WEEKDAY(C340,2)=1,"Mo",IF(WEEKDAY(C340,2)=2,"Di",IF(WEEKDAY(C340,2)=3,"Mi",IF(WEEKDAY(C340,2)=4,"Do.",IF(WEEKDAY(C340,2)=5,"Fr.",IF(WEEKDAY(C340,2)=6,"Sa.","So"))))))</f>
        <v/>
      </c>
      <c r="C340" s="64">
        <f>C339+1</f>
        <v/>
      </c>
      <c r="D340" s="65" t="n"/>
      <c r="E340" s="97" t="n"/>
      <c r="F340" s="2" t="inlineStr">
        <is>
          <t>h</t>
        </is>
      </c>
      <c r="G340" s="96" t="n"/>
      <c r="H340" s="67" t="n"/>
      <c r="I340" s="86" t="n"/>
      <c r="J340" s="86" t="n"/>
      <c r="K340" s="86" t="n"/>
      <c r="L340" s="86" t="n"/>
    </row>
    <row r="341">
      <c r="A341" s="62">
        <f>A340+1</f>
        <v/>
      </c>
      <c r="B341" s="63">
        <f>IF(WEEKDAY(C341,2)=1,"Mo",IF(WEEKDAY(C341,2)=2,"Di",IF(WEEKDAY(C341,2)=3,"Mi",IF(WEEKDAY(C341,2)=4,"Do.",IF(WEEKDAY(C341,2)=5,"Fr.",IF(WEEKDAY(C341,2)=6,"Sa.","So"))))))</f>
        <v/>
      </c>
      <c r="C341" s="64">
        <f>C340+1</f>
        <v/>
      </c>
      <c r="D341" s="65" t="n"/>
      <c r="E341" s="97" t="n"/>
      <c r="F341" s="2" t="inlineStr">
        <is>
          <t>h</t>
        </is>
      </c>
      <c r="G341" s="96" t="n"/>
      <c r="H341" s="67" t="n"/>
      <c r="I341" s="86" t="n"/>
      <c r="J341" s="86" t="n"/>
      <c r="K341" s="86" t="n"/>
      <c r="L341" s="86" t="n"/>
    </row>
    <row r="342">
      <c r="A342" s="62">
        <f>A341+1</f>
        <v/>
      </c>
      <c r="B342" s="63">
        <f>IF(WEEKDAY(C342,2)=1,"Mo",IF(WEEKDAY(C342,2)=2,"Di",IF(WEEKDAY(C342,2)=3,"Mi",IF(WEEKDAY(C342,2)=4,"Do.",IF(WEEKDAY(C342,2)=5,"Fr.",IF(WEEKDAY(C342,2)=6,"Sa.","So"))))))</f>
        <v/>
      </c>
      <c r="C342" s="64">
        <f>C341+1</f>
        <v/>
      </c>
      <c r="D342" s="65" t="n"/>
      <c r="E342" s="97" t="n"/>
      <c r="F342" s="2" t="inlineStr">
        <is>
          <t>h</t>
        </is>
      </c>
      <c r="G342" s="96" t="n"/>
      <c r="H342" s="67" t="n"/>
      <c r="I342" s="86" t="n"/>
      <c r="J342" s="86" t="n"/>
      <c r="K342" s="86" t="n"/>
      <c r="L342" s="86" t="n"/>
    </row>
    <row r="343">
      <c r="A343" s="62">
        <f>A342+1</f>
        <v/>
      </c>
      <c r="B343" s="63">
        <f>IF(WEEKDAY(C343,2)=1,"Mo",IF(WEEKDAY(C343,2)=2,"Di",IF(WEEKDAY(C343,2)=3,"Mi",IF(WEEKDAY(C343,2)=4,"Do.",IF(WEEKDAY(C343,2)=5,"Fr.",IF(WEEKDAY(C343,2)=6,"Sa.","So"))))))</f>
        <v/>
      </c>
      <c r="C343" s="64">
        <f>C342+1</f>
        <v/>
      </c>
      <c r="D343" s="65" t="n"/>
      <c r="E343" s="97" t="n"/>
      <c r="F343" s="2" t="inlineStr">
        <is>
          <t>h</t>
        </is>
      </c>
      <c r="G343" s="96" t="n"/>
      <c r="H343" s="67" t="n"/>
      <c r="I343" s="86" t="n"/>
      <c r="J343" s="86" t="n"/>
      <c r="K343" s="86" t="n"/>
      <c r="L343" s="86" t="n"/>
    </row>
    <row r="344" ht="14.25" customHeight="1" thickBot="1">
      <c r="A344" s="69">
        <f>A343+1</f>
        <v/>
      </c>
      <c r="B344" s="70">
        <f>IF(WEEKDAY(C344,2)=1,"Mo",IF(WEEKDAY(C344,2)=2,"Di",IF(WEEKDAY(C344,2)=3,"Mi",IF(WEEKDAY(C344,2)=4,"Do.",IF(WEEKDAY(C344,2)=5,"Fr.",IF(WEEKDAY(C344,2)=6,"Sa.","So"))))))</f>
        <v/>
      </c>
      <c r="C344" s="71">
        <f>C343+1</f>
        <v/>
      </c>
      <c r="D344" s="72" t="n"/>
      <c r="E344" s="73" t="n"/>
      <c r="F344" s="11" t="inlineStr">
        <is>
          <t>h</t>
        </is>
      </c>
      <c r="G344" s="13" t="n"/>
      <c r="H344" s="74" t="n"/>
      <c r="I344" s="86" t="n"/>
      <c r="J344" s="86" t="n"/>
      <c r="K344" s="86" t="n"/>
      <c r="L344" s="86" t="n"/>
      <c r="N344" s="49" t="n"/>
      <c r="O344" s="50" t="inlineStr">
        <is>
          <t xml:space="preserve">Hier sollte der letzte Seitenumbruch (Seite 6 Ende) zu sehen sein.  (Reiter "Ansicht &gt; Umbruchsvorschau) </t>
        </is>
      </c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</row>
    <row r="345">
      <c r="A345" s="88" t="n"/>
      <c r="B345" s="88" t="n"/>
      <c r="C345" s="88" t="n"/>
      <c r="D345" s="88" t="n"/>
      <c r="E345" s="88" t="n"/>
      <c r="F345" s="37" t="n"/>
      <c r="G345" s="37" t="n"/>
      <c r="H345" s="88" t="n"/>
      <c r="I345" s="88" t="n"/>
      <c r="J345" s="88" t="n"/>
      <c r="K345" s="88" t="n"/>
      <c r="L345" s="88" t="n"/>
      <c r="N345" s="48" t="n"/>
      <c r="O345" s="1" t="inlineStr">
        <is>
          <t>Sie könne mit der Maus den Umbruch verschieben.</t>
        </is>
      </c>
    </row>
    <row r="346">
      <c r="A346" s="110">
        <f>Student_Name</f>
        <v/>
      </c>
      <c r="B346" s="116" t="n"/>
      <c r="C346" s="116" t="n"/>
      <c r="D346" s="116" t="n"/>
      <c r="E346" s="116" t="n"/>
      <c r="F346" s="116" t="n"/>
      <c r="G346" s="100" t="n"/>
      <c r="H346" s="110">
        <f>Ausbildungsbetrieb_Unternehmen</f>
        <v/>
      </c>
      <c r="I346" s="87" t="n"/>
      <c r="J346" s="87" t="n"/>
      <c r="K346" s="87" t="n"/>
      <c r="L346" s="87" t="n"/>
    </row>
    <row r="347">
      <c r="A347" s="76" t="inlineStr">
        <is>
          <t>Name</t>
        </is>
      </c>
      <c r="B347" s="76" t="n"/>
      <c r="C347" s="76" t="n"/>
      <c r="D347" s="76" t="n"/>
      <c r="E347" s="76" t="n"/>
      <c r="F347" s="28" t="n"/>
      <c r="G347" s="28" t="n"/>
      <c r="H347" s="76" t="inlineStr">
        <is>
          <t>Ausbildungsbetrieb</t>
        </is>
      </c>
      <c r="I347" s="76" t="n"/>
      <c r="J347" s="76" t="n"/>
      <c r="K347" s="76" t="n"/>
      <c r="L347" s="76" t="n"/>
    </row>
    <row r="348">
      <c r="A348" s="87" t="n"/>
      <c r="B348" s="87" t="n"/>
      <c r="C348" s="87" t="n"/>
      <c r="D348" s="87" t="n"/>
      <c r="E348" s="87" t="n"/>
      <c r="F348" s="100" t="n"/>
      <c r="G348" s="100" t="n"/>
      <c r="H348" s="87" t="n"/>
      <c r="I348" s="87" t="n"/>
      <c r="J348" s="87" t="n"/>
      <c r="K348" s="87" t="n"/>
      <c r="L348" s="87" t="n"/>
    </row>
    <row r="349">
      <c r="A349" s="110">
        <f>Student_Vorname</f>
        <v/>
      </c>
      <c r="B349" s="116" t="n"/>
      <c r="C349" s="116" t="n"/>
      <c r="D349" s="116" t="n"/>
      <c r="E349" s="116" t="n"/>
      <c r="F349" s="116" t="n"/>
      <c r="G349" s="100" t="n"/>
      <c r="H349" s="110">
        <f>CONCATENATE(Ausbildungsbetrieb_Vorname, " ", Ausbildungsbetrieb_Name)</f>
        <v/>
      </c>
      <c r="I349" s="87" t="n"/>
      <c r="J349" s="87" t="n"/>
      <c r="K349" s="87" t="n"/>
      <c r="L349" s="87" t="n"/>
    </row>
    <row r="350">
      <c r="A350" s="76" t="inlineStr">
        <is>
          <t>Vorname</t>
        </is>
      </c>
      <c r="B350" s="76" t="n"/>
      <c r="C350" s="76" t="n"/>
      <c r="D350" s="76" t="n"/>
      <c r="E350" s="76" t="n"/>
      <c r="F350" s="28" t="n"/>
      <c r="G350" s="28" t="n"/>
      <c r="H350" s="76" t="inlineStr">
        <is>
          <t>Ansprechpartner im Betrieb</t>
        </is>
      </c>
      <c r="I350" s="76" t="n"/>
      <c r="J350" s="76" t="n"/>
      <c r="K350" s="76" t="n"/>
      <c r="L350" s="76" t="n"/>
    </row>
    <row r="351">
      <c r="A351" s="87" t="n"/>
      <c r="B351" s="87" t="n"/>
      <c r="C351" s="87" t="n"/>
      <c r="D351" s="87" t="n"/>
      <c r="E351" s="87" t="n"/>
      <c r="F351" s="100" t="n"/>
      <c r="G351" s="100" t="n"/>
      <c r="H351" s="87" t="n"/>
      <c r="I351" s="87" t="n"/>
      <c r="J351" s="87" t="n"/>
      <c r="K351" s="87" t="n"/>
      <c r="L351" s="87" t="n"/>
    </row>
    <row r="352">
      <c r="A352" s="110">
        <f>Student_Studiengruppe</f>
        <v/>
      </c>
      <c r="B352" s="116" t="n"/>
      <c r="C352" s="116" t="n"/>
      <c r="D352" s="116" t="n"/>
      <c r="E352" s="116" t="n"/>
      <c r="F352" s="116" t="n"/>
      <c r="G352" s="100" t="n"/>
      <c r="H352" s="110">
        <f>Ausbildungsbetrieb_Email</f>
        <v/>
      </c>
      <c r="I352" s="87" t="n"/>
      <c r="J352" s="87" t="n"/>
      <c r="K352" s="87" t="n"/>
      <c r="L352" s="87" t="n"/>
    </row>
    <row r="353">
      <c r="A353" s="76" t="inlineStr">
        <is>
          <t>Studiengruppe</t>
        </is>
      </c>
      <c r="B353" s="76" t="n"/>
      <c r="C353" s="76" t="n"/>
      <c r="D353" s="76" t="n"/>
      <c r="E353" s="76" t="n"/>
      <c r="F353" s="28" t="n"/>
      <c r="G353" s="28" t="n"/>
      <c r="H353" s="76" t="inlineStr">
        <is>
          <t>Email Ansprechpartner</t>
        </is>
      </c>
      <c r="I353" s="76" t="n"/>
      <c r="J353" s="76" t="n"/>
      <c r="K353" s="76" t="n"/>
      <c r="L353" s="76" t="n"/>
    </row>
    <row r="354">
      <c r="A354" s="87" t="n"/>
      <c r="B354" s="87" t="n"/>
      <c r="C354" s="87" t="n"/>
      <c r="D354" s="87" t="n"/>
      <c r="E354" s="87" t="n"/>
      <c r="F354" s="100" t="n"/>
      <c r="G354" s="100" t="n"/>
      <c r="H354" s="87" t="n"/>
      <c r="I354" s="87" t="n"/>
      <c r="J354" s="87" t="n"/>
      <c r="K354" s="87" t="n"/>
      <c r="L354" s="87" t="n"/>
    </row>
    <row r="355">
      <c r="A355" s="110">
        <f>Student_Matrikelnummer</f>
        <v/>
      </c>
      <c r="B355" s="116" t="n"/>
      <c r="C355" s="116" t="n"/>
      <c r="D355" s="116" t="n"/>
      <c r="E355" s="116" t="n"/>
      <c r="F355" s="116" t="n"/>
      <c r="G355" s="100" t="n"/>
      <c r="H355" s="110">
        <f>Ausbildungsbetrieb_Telefon</f>
        <v/>
      </c>
      <c r="I355" s="87" t="n"/>
      <c r="J355" s="87" t="n"/>
      <c r="K355" s="87" t="n"/>
      <c r="L355" s="87" t="n"/>
    </row>
    <row r="356">
      <c r="A356" s="76" t="inlineStr">
        <is>
          <t>Matrikelnummer</t>
        </is>
      </c>
      <c r="B356" s="76" t="n"/>
      <c r="C356" s="76" t="n"/>
      <c r="D356" s="76" t="n"/>
      <c r="E356" s="76" t="n"/>
      <c r="F356" s="28" t="n"/>
      <c r="G356" s="28" t="n"/>
      <c r="H356" s="76" t="inlineStr">
        <is>
          <t>Telefon Ansprechpartner</t>
        </is>
      </c>
      <c r="I356" s="76" t="n"/>
      <c r="J356" s="76" t="n"/>
      <c r="K356" s="76" t="n"/>
      <c r="L356" s="76" t="n"/>
    </row>
    <row r="357" ht="14.25" customHeight="1" thickBot="1">
      <c r="A357" s="87" t="n"/>
      <c r="B357" s="87" t="n"/>
      <c r="C357" s="87" t="n"/>
      <c r="D357" s="87" t="n"/>
      <c r="E357" s="87" t="n"/>
      <c r="F357" s="100" t="n"/>
      <c r="G357" s="100" t="n"/>
      <c r="H357" s="87" t="n"/>
      <c r="I357" s="87" t="n"/>
      <c r="J357" s="87" t="n"/>
      <c r="K357" s="87" t="n"/>
      <c r="L357" s="87" t="n"/>
    </row>
    <row r="358">
      <c r="A358" s="78" t="n"/>
      <c r="B358" s="79" t="n"/>
      <c r="C358" s="79" t="n"/>
      <c r="D358" s="79" t="n"/>
      <c r="E358" s="79" t="inlineStr">
        <is>
          <t>Typ</t>
        </is>
      </c>
      <c r="F358" s="15" t="n"/>
      <c r="G358" s="15" t="n"/>
      <c r="H358" s="80" t="inlineStr">
        <is>
          <t>Vorlesung besucht?</t>
        </is>
      </c>
      <c r="I358" s="88" t="n"/>
      <c r="J358" s="88" t="n"/>
      <c r="K358" s="88" t="n"/>
      <c r="L358" s="88" t="n"/>
    </row>
    <row r="359" ht="14.25" customHeight="1" thickBot="1">
      <c r="A359" s="111" t="inlineStr">
        <is>
          <t>Tag</t>
        </is>
      </c>
      <c r="B359" s="117" t="n"/>
      <c r="C359" s="81" t="inlineStr">
        <is>
          <t>Datum</t>
        </is>
      </c>
      <c r="D359" s="81" t="n"/>
      <c r="E359" s="113" t="inlineStr">
        <is>
          <t>Anwesen-heitszeit im Betrieb</t>
        </is>
      </c>
      <c r="F359" s="117" t="n"/>
      <c r="G359" s="109" t="n"/>
      <c r="H359" s="82" t="inlineStr">
        <is>
          <t>genaue Angaben zu den Tätigkeiten</t>
        </is>
      </c>
      <c r="I359" s="88" t="n"/>
      <c r="J359" s="88" t="n"/>
      <c r="K359" s="88" t="n"/>
      <c r="L359" s="88" t="n"/>
    </row>
    <row r="360">
      <c r="A360" s="5">
        <f>A344+1</f>
        <v/>
      </c>
      <c r="B360" s="6">
        <f>IF(WEEKDAY(C360,2)=1,"Mo",IF(WEEKDAY(C360,2)=2,"Di",IF(WEEKDAY(C360,2)=3,"Mi",IF(WEEKDAY(C360,2)=4,"Do.",IF(WEEKDAY(C360,2)=5,"Fr.",IF(WEEKDAY(C360,2)=6,"Sa.","So"))))))</f>
        <v/>
      </c>
      <c r="C360" s="7">
        <f>C344+1</f>
        <v/>
      </c>
      <c r="D360" s="44" t="n"/>
      <c r="E360" s="8" t="n"/>
      <c r="F360" s="6" t="inlineStr">
        <is>
          <t>h</t>
        </is>
      </c>
      <c r="G360" s="8" t="n"/>
      <c r="H360" s="20" t="n"/>
      <c r="I360" s="89" t="n"/>
      <c r="J360" s="89" t="n"/>
      <c r="K360" s="89" t="n"/>
      <c r="L360" s="89" t="n"/>
    </row>
    <row r="361">
      <c r="A361" s="9">
        <f>A360+1</f>
        <v/>
      </c>
      <c r="B361" s="2">
        <f>IF(WEEKDAY(C361,2)=1,"Mo",IF(WEEKDAY(C361,2)=2,"Di",IF(WEEKDAY(C361,2)=3,"Mi",IF(WEEKDAY(C361,2)=4,"Do.",IF(WEEKDAY(C361,2)=5,"Fr.",IF(WEEKDAY(C361,2)=6,"Sa.","So"))))))</f>
        <v/>
      </c>
      <c r="C361" s="4">
        <f>C360+1</f>
        <v/>
      </c>
      <c r="D361" s="45" t="n"/>
      <c r="E361" s="96" t="n"/>
      <c r="F361" s="2" t="inlineStr">
        <is>
          <t>h</t>
        </is>
      </c>
      <c r="G361" s="96" t="n"/>
      <c r="H361" s="21" t="n"/>
      <c r="I361" s="89" t="n"/>
      <c r="J361" s="89" t="n"/>
      <c r="K361" s="89" t="n"/>
      <c r="L361" s="89" t="n"/>
    </row>
    <row r="362">
      <c r="A362" s="9">
        <f>A361+1</f>
        <v/>
      </c>
      <c r="B362" s="2">
        <f>IF(WEEKDAY(C362,2)=1,"Mo",IF(WEEKDAY(C362,2)=2,"Di",IF(WEEKDAY(C362,2)=3,"Mi",IF(WEEKDAY(C362,2)=4,"Do.",IF(WEEKDAY(C362,2)=5,"Fr.",IF(WEEKDAY(C362,2)=6,"Sa.","So"))))))</f>
        <v/>
      </c>
      <c r="C362" s="4">
        <f>C361+1</f>
        <v/>
      </c>
      <c r="D362" s="45" t="n"/>
      <c r="E362" s="96" t="n"/>
      <c r="F362" s="2" t="inlineStr">
        <is>
          <t>h</t>
        </is>
      </c>
      <c r="G362" s="96" t="n"/>
      <c r="H362" s="21" t="n"/>
      <c r="I362" s="89" t="n"/>
      <c r="J362" s="89" t="n"/>
      <c r="K362" s="89" t="n"/>
      <c r="L362" s="89" t="n"/>
    </row>
    <row r="363">
      <c r="A363" s="9">
        <f>A362+1</f>
        <v/>
      </c>
      <c r="B363" s="2">
        <f>IF(WEEKDAY(C363,2)=1,"Mo",IF(WEEKDAY(C363,2)=2,"Di",IF(WEEKDAY(C363,2)=3,"Mi",IF(WEEKDAY(C363,2)=4,"Do.",IF(WEEKDAY(C363,2)=5,"Fr.",IF(WEEKDAY(C363,2)=6,"Sa.","So"))))))</f>
        <v/>
      </c>
      <c r="C363" s="4">
        <f>C362+1</f>
        <v/>
      </c>
      <c r="D363" s="45" t="n"/>
      <c r="E363" s="96" t="n"/>
      <c r="F363" s="2" t="inlineStr">
        <is>
          <t>h</t>
        </is>
      </c>
      <c r="G363" s="96" t="n"/>
      <c r="H363" s="21" t="n"/>
      <c r="I363" s="89" t="n"/>
      <c r="J363" s="89" t="n"/>
      <c r="K363" s="89" t="n"/>
      <c r="L363" s="89" t="n"/>
    </row>
    <row r="364">
      <c r="A364" s="9">
        <f>A363+1</f>
        <v/>
      </c>
      <c r="B364" s="2">
        <f>IF(WEEKDAY(C364,2)=1,"Mo",IF(WEEKDAY(C364,2)=2,"Di",IF(WEEKDAY(C364,2)=3,"Mi",IF(WEEKDAY(C364,2)=4,"Do.",IF(WEEKDAY(C364,2)=5,"Fr.",IF(WEEKDAY(C364,2)=6,"Sa.","So"))))))</f>
        <v/>
      </c>
      <c r="C364" s="4">
        <f>C363+1</f>
        <v/>
      </c>
      <c r="D364" s="45" t="n"/>
      <c r="E364" s="96" t="n"/>
      <c r="F364" s="2" t="inlineStr">
        <is>
          <t>h</t>
        </is>
      </c>
      <c r="G364" s="96" t="n"/>
      <c r="H364" s="21" t="n"/>
      <c r="I364" s="89" t="n"/>
      <c r="J364" s="89" t="n"/>
      <c r="K364" s="89" t="n"/>
      <c r="L364" s="89" t="n"/>
    </row>
    <row r="365">
      <c r="A365" s="9">
        <f>A364+1</f>
        <v/>
      </c>
      <c r="B365" s="2">
        <f>IF(WEEKDAY(C365,2)=1,"Mo",IF(WEEKDAY(C365,2)=2,"Di",IF(WEEKDAY(C365,2)=3,"Mi",IF(WEEKDAY(C365,2)=4,"Do.",IF(WEEKDAY(C365,2)=5,"Fr.",IF(WEEKDAY(C365,2)=6,"Sa.","So"))))))</f>
        <v/>
      </c>
      <c r="C365" s="4">
        <f>C364+1</f>
        <v/>
      </c>
      <c r="D365" s="45" t="n"/>
      <c r="E365" s="96" t="n"/>
      <c r="F365" s="2" t="inlineStr">
        <is>
          <t>h</t>
        </is>
      </c>
      <c r="G365" s="96" t="n"/>
      <c r="H365" s="21" t="n"/>
      <c r="I365" s="89" t="n"/>
      <c r="J365" s="89" t="n"/>
      <c r="K365" s="89" t="n"/>
      <c r="L365" s="89" t="n"/>
    </row>
    <row r="366">
      <c r="A366" s="9">
        <f>A365+1</f>
        <v/>
      </c>
      <c r="B366" s="2">
        <f>IF(WEEKDAY(C366,2)=1,"Mo",IF(WEEKDAY(C366,2)=2,"Di",IF(WEEKDAY(C366,2)=3,"Mi",IF(WEEKDAY(C366,2)=4,"Do.",IF(WEEKDAY(C366,2)=5,"Fr.",IF(WEEKDAY(C366,2)=6,"Sa.","So"))))))</f>
        <v/>
      </c>
      <c r="C366" s="4">
        <f>C365+1</f>
        <v/>
      </c>
      <c r="D366" s="45" t="n"/>
      <c r="E366" s="96" t="n"/>
      <c r="F366" s="2" t="inlineStr">
        <is>
          <t>h</t>
        </is>
      </c>
      <c r="G366" s="96" t="n"/>
      <c r="H366" s="21" t="n"/>
      <c r="I366" s="89" t="n"/>
      <c r="J366" s="89" t="n"/>
      <c r="K366" s="89" t="n"/>
      <c r="L366" s="89" t="n"/>
    </row>
    <row r="367">
      <c r="A367" s="9">
        <f>A366+1</f>
        <v/>
      </c>
      <c r="B367" s="2">
        <f>IF(WEEKDAY(C367,2)=1,"Mo",IF(WEEKDAY(C367,2)=2,"Di",IF(WEEKDAY(C367,2)=3,"Mi",IF(WEEKDAY(C367,2)=4,"Do.",IF(WEEKDAY(C367,2)=5,"Fr.",IF(WEEKDAY(C367,2)=6,"Sa.","So"))))))</f>
        <v/>
      </c>
      <c r="C367" s="4">
        <f>C366+1</f>
        <v/>
      </c>
      <c r="D367" s="45" t="n"/>
      <c r="E367" s="96" t="n"/>
      <c r="F367" s="2" t="inlineStr">
        <is>
          <t>h</t>
        </is>
      </c>
      <c r="G367" s="96" t="n"/>
      <c r="H367" s="21" t="n"/>
      <c r="I367" s="89" t="n"/>
      <c r="J367" s="89" t="n"/>
      <c r="K367" s="89" t="n"/>
      <c r="L367" s="89" t="n"/>
    </row>
    <row r="368">
      <c r="A368" s="9">
        <f>A367+1</f>
        <v/>
      </c>
      <c r="B368" s="2">
        <f>IF(WEEKDAY(C368,2)=1,"Mo",IF(WEEKDAY(C368,2)=2,"Di",IF(WEEKDAY(C368,2)=3,"Mi",IF(WEEKDAY(C368,2)=4,"Do.",IF(WEEKDAY(C368,2)=5,"Fr.",IF(WEEKDAY(C368,2)=6,"Sa.","So"))))))</f>
        <v/>
      </c>
      <c r="C368" s="4">
        <f>C367+1</f>
        <v/>
      </c>
      <c r="D368" s="45" t="n"/>
      <c r="E368" s="96" t="n"/>
      <c r="F368" s="2" t="inlineStr">
        <is>
          <t>h</t>
        </is>
      </c>
      <c r="G368" s="96" t="n"/>
      <c r="H368" s="21" t="n"/>
      <c r="I368" s="89" t="n"/>
      <c r="J368" s="89" t="n"/>
      <c r="K368" s="89" t="n"/>
      <c r="L368" s="89" t="n"/>
    </row>
    <row r="369">
      <c r="A369" s="9">
        <f>A368+1</f>
        <v/>
      </c>
      <c r="B369" s="2">
        <f>IF(WEEKDAY(C369,2)=1,"Mo",IF(WEEKDAY(C369,2)=2,"Di",IF(WEEKDAY(C369,2)=3,"Mi",IF(WEEKDAY(C369,2)=4,"Do.",IF(WEEKDAY(C369,2)=5,"Fr.",IF(WEEKDAY(C369,2)=6,"Sa.","So"))))))</f>
        <v/>
      </c>
      <c r="C369" s="4">
        <f>C368+1</f>
        <v/>
      </c>
      <c r="D369" s="45" t="n"/>
      <c r="E369" s="96" t="n"/>
      <c r="F369" s="2" t="inlineStr">
        <is>
          <t>h</t>
        </is>
      </c>
      <c r="G369" s="96" t="n"/>
      <c r="H369" s="21" t="n"/>
      <c r="I369" s="89" t="n"/>
      <c r="J369" s="89" t="n"/>
      <c r="K369" s="89" t="n"/>
      <c r="L369" s="89" t="n"/>
    </row>
    <row r="370">
      <c r="A370" s="9">
        <f>A369+1</f>
        <v/>
      </c>
      <c r="B370" s="2">
        <f>IF(WEEKDAY(C370,2)=1,"Mo",IF(WEEKDAY(C370,2)=2,"Di",IF(WEEKDAY(C370,2)=3,"Mi",IF(WEEKDAY(C370,2)=4,"Do.",IF(WEEKDAY(C370,2)=5,"Fr.",IF(WEEKDAY(C370,2)=6,"Sa.","So"))))))</f>
        <v/>
      </c>
      <c r="C370" s="4">
        <f>C369+1</f>
        <v/>
      </c>
      <c r="D370" s="45" t="n"/>
      <c r="E370" s="96" t="n"/>
      <c r="F370" s="2" t="inlineStr">
        <is>
          <t>h</t>
        </is>
      </c>
      <c r="G370" s="96" t="n"/>
      <c r="H370" s="21" t="n"/>
      <c r="I370" s="89" t="n"/>
      <c r="J370" s="89" t="n"/>
      <c r="K370" s="89" t="n"/>
      <c r="L370" s="89" t="n"/>
    </row>
    <row r="371">
      <c r="A371" s="9">
        <f>A370+1</f>
        <v/>
      </c>
      <c r="B371" s="2">
        <f>IF(WEEKDAY(C371,2)=1,"Mo",IF(WEEKDAY(C371,2)=2,"Di",IF(WEEKDAY(C371,2)=3,"Mi",IF(WEEKDAY(C371,2)=4,"Do.",IF(WEEKDAY(C371,2)=5,"Fr.",IF(WEEKDAY(C371,2)=6,"Sa.","So"))))))</f>
        <v/>
      </c>
      <c r="C371" s="4">
        <f>C370+1</f>
        <v/>
      </c>
      <c r="D371" s="45" t="n"/>
      <c r="E371" s="96" t="n"/>
      <c r="F371" s="2" t="inlineStr">
        <is>
          <t>h</t>
        </is>
      </c>
      <c r="G371" s="96" t="n"/>
      <c r="H371" s="21" t="n"/>
      <c r="I371" s="89" t="n"/>
      <c r="J371" s="89" t="n"/>
      <c r="K371" s="89" t="n"/>
      <c r="L371" s="89" t="n"/>
    </row>
    <row r="372">
      <c r="A372" s="9">
        <f>A371+1</f>
        <v/>
      </c>
      <c r="B372" s="2">
        <f>IF(WEEKDAY(C372,2)=1,"Mo",IF(WEEKDAY(C372,2)=2,"Di",IF(WEEKDAY(C372,2)=3,"Mi",IF(WEEKDAY(C372,2)=4,"Do.",IF(WEEKDAY(C372,2)=5,"Fr.",IF(WEEKDAY(C372,2)=6,"Sa.","So"))))))</f>
        <v/>
      </c>
      <c r="C372" s="4">
        <f>C371+1</f>
        <v/>
      </c>
      <c r="D372" s="45" t="n"/>
      <c r="E372" s="96" t="n"/>
      <c r="F372" s="2" t="inlineStr">
        <is>
          <t>h</t>
        </is>
      </c>
      <c r="G372" s="96" t="n"/>
      <c r="H372" s="21" t="n"/>
      <c r="I372" s="89" t="n"/>
      <c r="J372" s="89" t="n"/>
      <c r="K372" s="89" t="n"/>
      <c r="L372" s="89" t="n"/>
    </row>
    <row r="373">
      <c r="A373" s="9">
        <f>A372+1</f>
        <v/>
      </c>
      <c r="B373" s="2">
        <f>IF(WEEKDAY(C373,2)=1,"Mo",IF(WEEKDAY(C373,2)=2,"Di",IF(WEEKDAY(C373,2)=3,"Mi",IF(WEEKDAY(C373,2)=4,"Do.",IF(WEEKDAY(C373,2)=5,"Fr.",IF(WEEKDAY(C373,2)=6,"Sa.","So"))))))</f>
        <v/>
      </c>
      <c r="C373" s="4">
        <f>C372+1</f>
        <v/>
      </c>
      <c r="D373" s="45" t="n"/>
      <c r="E373" s="96" t="n"/>
      <c r="F373" s="2" t="inlineStr">
        <is>
          <t>h</t>
        </is>
      </c>
      <c r="G373" s="96" t="n"/>
      <c r="H373" s="21" t="n"/>
      <c r="I373" s="89" t="n"/>
      <c r="J373" s="89" t="n"/>
      <c r="K373" s="89" t="n"/>
      <c r="L373" s="89" t="n"/>
    </row>
    <row r="374">
      <c r="A374" s="9">
        <f>A373+1</f>
        <v/>
      </c>
      <c r="B374" s="2">
        <f>IF(WEEKDAY(C374,2)=1,"Mo",IF(WEEKDAY(C374,2)=2,"Di",IF(WEEKDAY(C374,2)=3,"Mi",IF(WEEKDAY(C374,2)=4,"Do.",IF(WEEKDAY(C374,2)=5,"Fr.",IF(WEEKDAY(C374,2)=6,"Sa.","So"))))))</f>
        <v/>
      </c>
      <c r="C374" s="4">
        <f>C373+1</f>
        <v/>
      </c>
      <c r="D374" s="45" t="n"/>
      <c r="E374" s="96" t="n"/>
      <c r="F374" s="2" t="inlineStr">
        <is>
          <t>h</t>
        </is>
      </c>
      <c r="G374" s="96" t="n"/>
      <c r="H374" s="21" t="n"/>
      <c r="I374" s="89" t="n"/>
      <c r="J374" s="89" t="n"/>
      <c r="K374" s="89" t="n"/>
      <c r="L374" s="89" t="n"/>
    </row>
    <row r="375">
      <c r="A375" s="9">
        <f>A374+1</f>
        <v/>
      </c>
      <c r="B375" s="2">
        <f>IF(WEEKDAY(C375,2)=1,"Mo",IF(WEEKDAY(C375,2)=2,"Di",IF(WEEKDAY(C375,2)=3,"Mi",IF(WEEKDAY(C375,2)=4,"Do.",IF(WEEKDAY(C375,2)=5,"Fr.",IF(WEEKDAY(C375,2)=6,"Sa.","So"))))))</f>
        <v/>
      </c>
      <c r="C375" s="4">
        <f>C374+1</f>
        <v/>
      </c>
      <c r="D375" s="45" t="n"/>
      <c r="E375" s="96" t="n"/>
      <c r="F375" s="2" t="inlineStr">
        <is>
          <t>h</t>
        </is>
      </c>
      <c r="G375" s="96" t="n"/>
      <c r="H375" s="21" t="n"/>
      <c r="I375" s="89" t="n"/>
      <c r="J375" s="89" t="n"/>
      <c r="K375" s="89" t="n"/>
      <c r="L375" s="89" t="n"/>
    </row>
    <row r="376">
      <c r="A376" s="9">
        <f>A375+1</f>
        <v/>
      </c>
      <c r="B376" s="2">
        <f>IF(WEEKDAY(C376,2)=1,"Mo",IF(WEEKDAY(C376,2)=2,"Di",IF(WEEKDAY(C376,2)=3,"Mi",IF(WEEKDAY(C376,2)=4,"Do.",IF(WEEKDAY(C376,2)=5,"Fr.",IF(WEEKDAY(C376,2)=6,"Sa.","So"))))))</f>
        <v/>
      </c>
      <c r="C376" s="4">
        <f>C375+1</f>
        <v/>
      </c>
      <c r="D376" s="45" t="n"/>
      <c r="E376" s="96" t="n"/>
      <c r="F376" s="2" t="inlineStr">
        <is>
          <t>h</t>
        </is>
      </c>
      <c r="G376" s="96" t="n"/>
      <c r="H376" s="21" t="n"/>
      <c r="I376" s="89" t="n"/>
      <c r="J376" s="89" t="n"/>
      <c r="K376" s="89" t="n"/>
      <c r="L376" s="89" t="n"/>
    </row>
    <row r="377">
      <c r="A377" s="9">
        <f>A376+1</f>
        <v/>
      </c>
      <c r="B377" s="2">
        <f>IF(WEEKDAY(C377,2)=1,"Mo",IF(WEEKDAY(C377,2)=2,"Di",IF(WEEKDAY(C377,2)=3,"Mi",IF(WEEKDAY(C377,2)=4,"Do.",IF(WEEKDAY(C377,2)=5,"Fr.",IF(WEEKDAY(C377,2)=6,"Sa.","So"))))))</f>
        <v/>
      </c>
      <c r="C377" s="4">
        <f>C376+1</f>
        <v/>
      </c>
      <c r="D377" s="45" t="n"/>
      <c r="E377" s="96" t="n"/>
      <c r="F377" s="2" t="inlineStr">
        <is>
          <t>h</t>
        </is>
      </c>
      <c r="G377" s="96" t="n"/>
      <c r="H377" s="21" t="n"/>
      <c r="I377" s="89" t="n"/>
      <c r="J377" s="89" t="n"/>
      <c r="K377" s="89" t="n"/>
      <c r="L377" s="89" t="n"/>
    </row>
    <row r="378">
      <c r="A378" s="9">
        <f>A377+1</f>
        <v/>
      </c>
      <c r="B378" s="2">
        <f>IF(WEEKDAY(C378,2)=1,"Mo",IF(WEEKDAY(C378,2)=2,"Di",IF(WEEKDAY(C378,2)=3,"Mi",IF(WEEKDAY(C378,2)=4,"Do.",IF(WEEKDAY(C378,2)=5,"Fr.",IF(WEEKDAY(C378,2)=6,"Sa.","So"))))))</f>
        <v/>
      </c>
      <c r="C378" s="4">
        <f>C377+1</f>
        <v/>
      </c>
      <c r="D378" s="45" t="n"/>
      <c r="E378" s="96" t="n"/>
      <c r="F378" s="2" t="inlineStr">
        <is>
          <t>h</t>
        </is>
      </c>
      <c r="G378" s="96" t="n"/>
      <c r="H378" s="21" t="n"/>
      <c r="I378" s="89" t="n"/>
      <c r="J378" s="89" t="n"/>
      <c r="K378" s="89" t="n"/>
      <c r="L378" s="89" t="n"/>
    </row>
    <row r="379">
      <c r="A379" s="9">
        <f>A378+1</f>
        <v/>
      </c>
      <c r="B379" s="2">
        <f>IF(WEEKDAY(C379,2)=1,"Mo",IF(WEEKDAY(C379,2)=2,"Di",IF(WEEKDAY(C379,2)=3,"Mi",IF(WEEKDAY(C379,2)=4,"Do.",IF(WEEKDAY(C379,2)=5,"Fr.",IF(WEEKDAY(C379,2)=6,"Sa.","So"))))))</f>
        <v/>
      </c>
      <c r="C379" s="4">
        <f>C378+1</f>
        <v/>
      </c>
      <c r="D379" s="45" t="n"/>
      <c r="E379" s="96" t="n"/>
      <c r="F379" s="2" t="inlineStr">
        <is>
          <t>h</t>
        </is>
      </c>
      <c r="G379" s="96" t="n"/>
      <c r="H379" s="21" t="n"/>
      <c r="I379" s="89" t="n"/>
      <c r="J379" s="89" t="n"/>
      <c r="K379" s="89" t="n"/>
      <c r="L379" s="89" t="n"/>
    </row>
    <row r="380">
      <c r="A380" s="9">
        <f>A379+1</f>
        <v/>
      </c>
      <c r="B380" s="2">
        <f>IF(WEEKDAY(C380,2)=1,"Mo",IF(WEEKDAY(C380,2)=2,"Di",IF(WEEKDAY(C380,2)=3,"Mi",IF(WEEKDAY(C380,2)=4,"Do.",IF(WEEKDAY(C380,2)=5,"Fr.",IF(WEEKDAY(C380,2)=6,"Sa.","So"))))))</f>
        <v/>
      </c>
      <c r="C380" s="4">
        <f>C379+1</f>
        <v/>
      </c>
      <c r="D380" s="45" t="n"/>
      <c r="E380" s="96" t="n"/>
      <c r="F380" s="2" t="inlineStr">
        <is>
          <t>h</t>
        </is>
      </c>
      <c r="G380" s="96" t="n"/>
      <c r="H380" s="21" t="n"/>
      <c r="I380" s="89" t="n"/>
      <c r="J380" s="89" t="n"/>
      <c r="K380" s="89" t="n"/>
      <c r="L380" s="89" t="n"/>
    </row>
    <row r="381">
      <c r="A381" s="9">
        <f>A380+1</f>
        <v/>
      </c>
      <c r="B381" s="2">
        <f>IF(WEEKDAY(C381,2)=1,"Mo",IF(WEEKDAY(C381,2)=2,"Di",IF(WEEKDAY(C381,2)=3,"Mi",IF(WEEKDAY(C381,2)=4,"Do.",IF(WEEKDAY(C381,2)=5,"Fr.",IF(WEEKDAY(C381,2)=6,"Sa.","So"))))))</f>
        <v/>
      </c>
      <c r="C381" s="4">
        <f>C380+1</f>
        <v/>
      </c>
      <c r="D381" s="45" t="n"/>
      <c r="E381" s="96" t="n"/>
      <c r="F381" s="2" t="inlineStr">
        <is>
          <t>h</t>
        </is>
      </c>
      <c r="G381" s="96" t="n"/>
      <c r="H381" s="21" t="n"/>
      <c r="I381" s="89" t="n"/>
      <c r="J381" s="89" t="n"/>
      <c r="K381" s="89" t="n"/>
      <c r="L381" s="89" t="n"/>
    </row>
    <row r="382">
      <c r="A382" s="9">
        <f>A381+1</f>
        <v/>
      </c>
      <c r="B382" s="2">
        <f>IF(WEEKDAY(C382,2)=1,"Mo",IF(WEEKDAY(C382,2)=2,"Di",IF(WEEKDAY(C382,2)=3,"Mi",IF(WEEKDAY(C382,2)=4,"Do.",IF(WEEKDAY(C382,2)=5,"Fr.",IF(WEEKDAY(C382,2)=6,"Sa.","So"))))))</f>
        <v/>
      </c>
      <c r="C382" s="4">
        <f>C381+1</f>
        <v/>
      </c>
      <c r="D382" s="45" t="n"/>
      <c r="E382" s="96" t="n"/>
      <c r="F382" s="2" t="inlineStr">
        <is>
          <t>h</t>
        </is>
      </c>
      <c r="G382" s="96" t="n"/>
      <c r="H382" s="21" t="n"/>
      <c r="I382" s="89" t="n"/>
      <c r="J382" s="89" t="n"/>
      <c r="K382" s="89" t="n"/>
      <c r="L382" s="89" t="n"/>
    </row>
    <row r="383">
      <c r="A383" s="9">
        <f>A382+1</f>
        <v/>
      </c>
      <c r="B383" s="2">
        <f>IF(WEEKDAY(C383,2)=1,"Mo",IF(WEEKDAY(C383,2)=2,"Di",IF(WEEKDAY(C383,2)=3,"Mi",IF(WEEKDAY(C383,2)=4,"Do.",IF(WEEKDAY(C383,2)=5,"Fr.",IF(WEEKDAY(C383,2)=6,"Sa.","So"))))))</f>
        <v/>
      </c>
      <c r="C383" s="4">
        <f>C382+1</f>
        <v/>
      </c>
      <c r="D383" s="45" t="n"/>
      <c r="E383" s="96" t="n"/>
      <c r="F383" s="2" t="inlineStr">
        <is>
          <t>h</t>
        </is>
      </c>
      <c r="G383" s="96" t="n"/>
      <c r="H383" s="21" t="n"/>
      <c r="I383" s="89" t="n"/>
      <c r="J383" s="89" t="n"/>
      <c r="K383" s="89" t="n"/>
      <c r="L383" s="89" t="n"/>
    </row>
    <row r="384">
      <c r="A384" s="9">
        <f>A383+1</f>
        <v/>
      </c>
      <c r="B384" s="2">
        <f>IF(WEEKDAY(C384,2)=1,"Mo",IF(WEEKDAY(C384,2)=2,"Di",IF(WEEKDAY(C384,2)=3,"Mi",IF(WEEKDAY(C384,2)=4,"Do.",IF(WEEKDAY(C384,2)=5,"Fr.",IF(WEEKDAY(C384,2)=6,"Sa.","So"))))))</f>
        <v/>
      </c>
      <c r="C384" s="4">
        <f>C383+1</f>
        <v/>
      </c>
      <c r="D384" s="45" t="n"/>
      <c r="E384" s="96" t="n"/>
      <c r="F384" s="2" t="inlineStr">
        <is>
          <t>h</t>
        </is>
      </c>
      <c r="G384" s="96" t="n"/>
      <c r="H384" s="21" t="n"/>
      <c r="I384" s="89" t="n"/>
      <c r="J384" s="89" t="n"/>
      <c r="K384" s="89" t="n"/>
      <c r="L384" s="89" t="n"/>
    </row>
    <row r="385">
      <c r="A385" s="9">
        <f>A384+1</f>
        <v/>
      </c>
      <c r="B385" s="2">
        <f>IF(WEEKDAY(C385,2)=1,"Mo",IF(WEEKDAY(C385,2)=2,"Di",IF(WEEKDAY(C385,2)=3,"Mi",IF(WEEKDAY(C385,2)=4,"Do.",IF(WEEKDAY(C385,2)=5,"Fr.",IF(WEEKDAY(C385,2)=6,"Sa.","So"))))))</f>
        <v/>
      </c>
      <c r="C385" s="4">
        <f>C384+1</f>
        <v/>
      </c>
      <c r="D385" s="45" t="n"/>
      <c r="E385" s="96" t="n"/>
      <c r="F385" s="2" t="inlineStr">
        <is>
          <t>h</t>
        </is>
      </c>
      <c r="G385" s="96" t="n"/>
      <c r="H385" s="21" t="n"/>
      <c r="I385" s="89" t="n"/>
      <c r="J385" s="89" t="n"/>
      <c r="K385" s="89" t="n"/>
      <c r="L385" s="89" t="n"/>
    </row>
    <row r="386">
      <c r="A386" s="9">
        <f>A385+1</f>
        <v/>
      </c>
      <c r="B386" s="2">
        <f>IF(WEEKDAY(C386,2)=1,"Mo",IF(WEEKDAY(C386,2)=2,"Di",IF(WEEKDAY(C386,2)=3,"Mi",IF(WEEKDAY(C386,2)=4,"Do.",IF(WEEKDAY(C386,2)=5,"Fr.",IF(WEEKDAY(C386,2)=6,"Sa.","So"))))))</f>
        <v/>
      </c>
      <c r="C386" s="4">
        <f>C385+1</f>
        <v/>
      </c>
      <c r="D386" s="45" t="n"/>
      <c r="E386" s="96" t="n"/>
      <c r="F386" s="2" t="inlineStr">
        <is>
          <t>h</t>
        </is>
      </c>
      <c r="G386" s="96" t="n"/>
      <c r="H386" s="21" t="n"/>
      <c r="I386" s="89" t="n"/>
      <c r="J386" s="89" t="n"/>
      <c r="K386" s="89" t="n"/>
      <c r="L386" s="89" t="n"/>
    </row>
    <row r="387" ht="14.25" customHeight="1" thickBot="1">
      <c r="A387" s="10">
        <f>A386+1</f>
        <v/>
      </c>
      <c r="B387" s="11">
        <f>IF(WEEKDAY(C387,2)=1,"Mo",IF(WEEKDAY(C387,2)=2,"Di",IF(WEEKDAY(C387,2)=3,"Mi",IF(WEEKDAY(C387,2)=4,"Do.",IF(WEEKDAY(C387,2)=5,"Fr.",IF(WEEKDAY(C387,2)=6,"Sa.","So"))))))</f>
        <v/>
      </c>
      <c r="C387" s="12">
        <f>C386+1</f>
        <v/>
      </c>
      <c r="D387" s="46" t="n"/>
      <c r="E387" s="13" t="n"/>
      <c r="F387" s="11" t="inlineStr">
        <is>
          <t>h</t>
        </is>
      </c>
      <c r="G387" s="13" t="n"/>
      <c r="H387" s="22" t="n"/>
      <c r="I387" s="89" t="n"/>
      <c r="J387" s="89" t="n"/>
      <c r="K387" s="89" t="n"/>
      <c r="L387" s="89" t="n"/>
      <c r="N387" s="49" t="n"/>
      <c r="O387" s="50" t="inlineStr">
        <is>
          <t xml:space="preserve">Hier sollte der letzte Seitenumbruch (Seite 6 Ende) zu sehen sein.  (Reiter "Ansicht &gt; Umbruchsvorschau) </t>
        </is>
      </c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N388" s="48" t="n"/>
      <c r="O388" s="1" t="inlineStr">
        <is>
          <t>Sie könne mit der Maus den Umbruch verschieben.</t>
        </is>
      </c>
    </row>
    <row r="389">
      <c r="A389" s="106">
        <f>Student_Name</f>
        <v/>
      </c>
      <c r="B389" s="116" t="n"/>
      <c r="C389" s="116" t="n"/>
      <c r="D389" s="116" t="n"/>
      <c r="E389" s="116" t="n"/>
      <c r="F389" s="116" t="n"/>
      <c r="G389" s="100" t="n"/>
      <c r="H389" s="106">
        <f>Ausbildungsbetrieb_Unternehmen</f>
        <v/>
      </c>
      <c r="I389" s="100" t="n"/>
      <c r="J389" s="100" t="n"/>
      <c r="K389" s="100" t="n"/>
      <c r="L389" s="100" t="n"/>
    </row>
    <row r="390">
      <c r="A390" s="28" t="inlineStr">
        <is>
          <t>Name</t>
        </is>
      </c>
      <c r="B390" s="28" t="n"/>
      <c r="C390" s="28" t="n"/>
      <c r="D390" s="28" t="n"/>
      <c r="E390" s="28" t="n"/>
      <c r="F390" s="28" t="n"/>
      <c r="G390" s="28" t="n"/>
      <c r="H390" s="28" t="inlineStr">
        <is>
          <t>Ausbildungsbetrieb</t>
        </is>
      </c>
      <c r="I390" s="28" t="n"/>
      <c r="J390" s="28" t="n"/>
      <c r="K390" s="28" t="n"/>
      <c r="L390" s="28" t="n"/>
    </row>
    <row r="391">
      <c r="A391" s="100" t="n"/>
      <c r="B391" s="100" t="n"/>
      <c r="C391" s="100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</row>
    <row r="392">
      <c r="A392" s="106">
        <f>Student_Vorname</f>
        <v/>
      </c>
      <c r="B392" s="116" t="n"/>
      <c r="C392" s="116" t="n"/>
      <c r="D392" s="116" t="n"/>
      <c r="E392" s="116" t="n"/>
      <c r="F392" s="116" t="n"/>
      <c r="G392" s="100" t="n"/>
      <c r="H392" s="106">
        <f>CONCATENATE(Ausbildungsbetrieb_Vorname, " ", Ausbildungsbetrieb_Name)</f>
        <v/>
      </c>
      <c r="I392" s="100" t="n"/>
      <c r="J392" s="100" t="n"/>
      <c r="K392" s="100" t="n"/>
      <c r="L392" s="100" t="n"/>
    </row>
    <row r="393">
      <c r="A393" s="28" t="inlineStr">
        <is>
          <t>Vorname</t>
        </is>
      </c>
      <c r="B393" s="28" t="n"/>
      <c r="C393" s="28" t="n"/>
      <c r="D393" s="28" t="n"/>
      <c r="E393" s="28" t="n"/>
      <c r="F393" s="28" t="n"/>
      <c r="G393" s="28" t="n"/>
      <c r="H393" s="28" t="inlineStr">
        <is>
          <t>Ansprechpartner im Betrieb</t>
        </is>
      </c>
      <c r="I393" s="28" t="n"/>
      <c r="J393" s="28" t="n"/>
      <c r="K393" s="28" t="n"/>
      <c r="L393" s="28" t="n"/>
    </row>
    <row r="394">
      <c r="A394" s="100" t="n"/>
      <c r="B394" s="100" t="n"/>
      <c r="C394" s="100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</row>
    <row r="395">
      <c r="A395" s="106">
        <f>Student_Studiengruppe</f>
        <v/>
      </c>
      <c r="B395" s="116" t="n"/>
      <c r="C395" s="116" t="n"/>
      <c r="D395" s="116" t="n"/>
      <c r="E395" s="116" t="n"/>
      <c r="F395" s="116" t="n"/>
      <c r="G395" s="100" t="n"/>
      <c r="H395" s="106">
        <f>Ausbildungsbetrieb_Email</f>
        <v/>
      </c>
      <c r="I395" s="100" t="n"/>
      <c r="J395" s="100" t="n"/>
      <c r="K395" s="100" t="n"/>
      <c r="L395" s="100" t="n"/>
    </row>
    <row r="396">
      <c r="A396" s="28" t="inlineStr">
        <is>
          <t>Studiengruppe</t>
        </is>
      </c>
      <c r="B396" s="28" t="n"/>
      <c r="C396" s="28" t="n"/>
      <c r="D396" s="28" t="n"/>
      <c r="E396" s="28" t="n"/>
      <c r="F396" s="28" t="n"/>
      <c r="G396" s="28" t="n"/>
      <c r="H396" s="28" t="inlineStr">
        <is>
          <t>Email Ansprechpartner</t>
        </is>
      </c>
      <c r="I396" s="28" t="n"/>
      <c r="J396" s="28" t="n"/>
      <c r="K396" s="28" t="n"/>
      <c r="L396" s="28" t="n"/>
    </row>
    <row r="397">
      <c r="A397" s="100" t="n"/>
      <c r="B397" s="100" t="n"/>
      <c r="C397" s="100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</row>
    <row r="398">
      <c r="A398" s="106">
        <f>Student_Matrikelnummer</f>
        <v/>
      </c>
      <c r="B398" s="116" t="n"/>
      <c r="C398" s="116" t="n"/>
      <c r="D398" s="116" t="n"/>
      <c r="E398" s="116" t="n"/>
      <c r="F398" s="116" t="n"/>
      <c r="G398" s="100" t="n"/>
      <c r="H398" s="106">
        <f>Ausbildungsbetrieb_Telefon</f>
        <v/>
      </c>
      <c r="I398" s="100" t="n"/>
      <c r="J398" s="100" t="n"/>
      <c r="K398" s="100" t="n"/>
      <c r="L398" s="100" t="n"/>
    </row>
    <row r="399">
      <c r="A399" s="28" t="inlineStr">
        <is>
          <t>Matrikelnummer</t>
        </is>
      </c>
      <c r="B399" s="28" t="n"/>
      <c r="C399" s="28" t="n"/>
      <c r="D399" s="28" t="n"/>
      <c r="E399" s="28" t="n"/>
      <c r="F399" s="28" t="n"/>
      <c r="G399" s="28" t="n"/>
      <c r="H399" s="28" t="inlineStr">
        <is>
          <t>Telefon Ansprechpartner</t>
        </is>
      </c>
      <c r="I399" s="28" t="n"/>
      <c r="J399" s="28" t="n"/>
      <c r="K399" s="28" t="n"/>
      <c r="L399" s="28" t="n"/>
    </row>
    <row r="400" ht="14.25" customHeight="1" thickBot="1">
      <c r="A400" s="100" t="n"/>
      <c r="B400" s="100" t="n"/>
      <c r="C400" s="100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</row>
    <row r="401">
      <c r="A401" s="14" t="n"/>
      <c r="B401" s="15" t="n"/>
      <c r="C401" s="15" t="n"/>
      <c r="D401" s="15" t="n"/>
      <c r="E401" s="15" t="inlineStr">
        <is>
          <t>Typ</t>
        </is>
      </c>
      <c r="F401" s="15" t="n"/>
      <c r="G401" s="15" t="n"/>
      <c r="H401" s="16" t="inlineStr">
        <is>
          <t>Vorlesung besucht?</t>
        </is>
      </c>
      <c r="I401" s="85" t="n"/>
      <c r="J401" s="85" t="n"/>
      <c r="K401" s="85" t="n"/>
      <c r="L401" s="85" t="n"/>
    </row>
    <row r="402" ht="14.25" customHeight="1" thickBot="1">
      <c r="A402" s="107" t="inlineStr">
        <is>
          <t>Tag</t>
        </is>
      </c>
      <c r="B402" s="117" t="n"/>
      <c r="C402" s="17" t="inlineStr">
        <is>
          <t>Datum</t>
        </is>
      </c>
      <c r="D402" s="17" t="n"/>
      <c r="E402" s="109" t="inlineStr">
        <is>
          <t>Anwesen-heitszeit im Betrieb</t>
        </is>
      </c>
      <c r="F402" s="117" t="n"/>
      <c r="G402" s="109" t="n"/>
      <c r="H402" s="19" t="inlineStr">
        <is>
          <t>genaue Angaben zu den Tätigkeiten</t>
        </is>
      </c>
      <c r="I402" s="85" t="n"/>
      <c r="J402" s="85" t="n"/>
      <c r="K402" s="85" t="n"/>
      <c r="L402" s="85" t="n"/>
    </row>
    <row r="403">
      <c r="A403" s="5">
        <f>A387+1</f>
        <v/>
      </c>
      <c r="B403" s="6">
        <f>IF(WEEKDAY(C403,2)=1,"Mo",IF(WEEKDAY(C403,2)=2,"Di",IF(WEEKDAY(C403,2)=3,"Mi",IF(WEEKDAY(C403,2)=4,"Do.",IF(WEEKDAY(C403,2)=5,"Fr.",IF(WEEKDAY(C403,2)=6,"Sa.","So"))))))</f>
        <v/>
      </c>
      <c r="C403" s="7">
        <f>C387+1</f>
        <v/>
      </c>
      <c r="D403" s="44" t="n"/>
      <c r="E403" s="8" t="n"/>
      <c r="F403" s="6" t="inlineStr">
        <is>
          <t>h</t>
        </is>
      </c>
      <c r="G403" s="8" t="n"/>
      <c r="H403" s="20" t="n"/>
      <c r="I403" s="89" t="n"/>
      <c r="J403" s="89" t="n"/>
      <c r="K403" s="89" t="n"/>
      <c r="L403" s="89" t="n"/>
    </row>
    <row r="404">
      <c r="A404" s="9">
        <f>A403+1</f>
        <v/>
      </c>
      <c r="B404" s="2">
        <f>IF(WEEKDAY(C404,2)=1,"Mo",IF(WEEKDAY(C404,2)=2,"Di",IF(WEEKDAY(C404,2)=3,"Mi",IF(WEEKDAY(C404,2)=4,"Do.",IF(WEEKDAY(C404,2)=5,"Fr.",IF(WEEKDAY(C404,2)=6,"Sa.","So"))))))</f>
        <v/>
      </c>
      <c r="C404" s="4">
        <f>C403+1</f>
        <v/>
      </c>
      <c r="D404" s="45" t="n"/>
      <c r="E404" s="96" t="n"/>
      <c r="F404" s="2" t="inlineStr">
        <is>
          <t>h</t>
        </is>
      </c>
      <c r="G404" s="96" t="n"/>
      <c r="H404" s="21" t="n"/>
      <c r="I404" s="89" t="n"/>
      <c r="J404" s="89" t="n"/>
      <c r="K404" s="89" t="n"/>
      <c r="L404" s="89" t="n"/>
    </row>
    <row r="405">
      <c r="A405" s="9">
        <f>A404+1</f>
        <v/>
      </c>
      <c r="B405" s="2">
        <f>IF(WEEKDAY(C405,2)=1,"Mo",IF(WEEKDAY(C405,2)=2,"Di",IF(WEEKDAY(C405,2)=3,"Mi",IF(WEEKDAY(C405,2)=4,"Do.",IF(WEEKDAY(C405,2)=5,"Fr.",IF(WEEKDAY(C405,2)=6,"Sa.","So"))))))</f>
        <v/>
      </c>
      <c r="C405" s="4">
        <f>C404+1</f>
        <v/>
      </c>
      <c r="D405" s="45" t="n"/>
      <c r="E405" s="96" t="n"/>
      <c r="F405" s="2" t="inlineStr">
        <is>
          <t>h</t>
        </is>
      </c>
      <c r="G405" s="96" t="n"/>
      <c r="H405" s="21" t="n"/>
      <c r="I405" s="89" t="n"/>
      <c r="J405" s="89" t="n"/>
      <c r="K405" s="89" t="n"/>
      <c r="L405" s="89" t="n"/>
    </row>
    <row r="406">
      <c r="A406" s="9">
        <f>A405+1</f>
        <v/>
      </c>
      <c r="B406" s="2">
        <f>IF(WEEKDAY(C406,2)=1,"Mo",IF(WEEKDAY(C406,2)=2,"Di",IF(WEEKDAY(C406,2)=3,"Mi",IF(WEEKDAY(C406,2)=4,"Do.",IF(WEEKDAY(C406,2)=5,"Fr.",IF(WEEKDAY(C406,2)=6,"Sa.","So"))))))</f>
        <v/>
      </c>
      <c r="C406" s="4">
        <f>C405+1</f>
        <v/>
      </c>
      <c r="D406" s="45" t="n"/>
      <c r="E406" s="96" t="n"/>
      <c r="F406" s="2" t="inlineStr">
        <is>
          <t>h</t>
        </is>
      </c>
      <c r="G406" s="96" t="n"/>
      <c r="H406" s="21" t="n"/>
      <c r="I406" s="89" t="n"/>
      <c r="J406" s="89" t="n"/>
      <c r="K406" s="89" t="n"/>
      <c r="L406" s="89" t="n"/>
    </row>
    <row r="407">
      <c r="A407" s="9">
        <f>A406+1</f>
        <v/>
      </c>
      <c r="B407" s="2">
        <f>IF(WEEKDAY(C407,2)=1,"Mo",IF(WEEKDAY(C407,2)=2,"Di",IF(WEEKDAY(C407,2)=3,"Mi",IF(WEEKDAY(C407,2)=4,"Do.",IF(WEEKDAY(C407,2)=5,"Fr.",IF(WEEKDAY(C407,2)=6,"Sa.","So"))))))</f>
        <v/>
      </c>
      <c r="C407" s="4">
        <f>C406+1</f>
        <v/>
      </c>
      <c r="D407" s="45" t="n"/>
      <c r="E407" s="96" t="n"/>
      <c r="F407" s="2" t="inlineStr">
        <is>
          <t>h</t>
        </is>
      </c>
      <c r="G407" s="96" t="n"/>
      <c r="H407" s="21" t="n"/>
      <c r="I407" s="89" t="n"/>
      <c r="J407" s="89" t="n"/>
      <c r="K407" s="89" t="n"/>
      <c r="L407" s="89" t="n"/>
    </row>
    <row r="408">
      <c r="A408" s="9">
        <f>A407+1</f>
        <v/>
      </c>
      <c r="B408" s="2">
        <f>IF(WEEKDAY(C408,2)=1,"Mo",IF(WEEKDAY(C408,2)=2,"Di",IF(WEEKDAY(C408,2)=3,"Mi",IF(WEEKDAY(C408,2)=4,"Do.",IF(WEEKDAY(C408,2)=5,"Fr.",IF(WEEKDAY(C408,2)=6,"Sa.","So"))))))</f>
        <v/>
      </c>
      <c r="C408" s="4">
        <f>C407+1</f>
        <v/>
      </c>
      <c r="D408" s="45" t="n"/>
      <c r="E408" s="96" t="n"/>
      <c r="F408" s="2" t="inlineStr">
        <is>
          <t>h</t>
        </is>
      </c>
      <c r="G408" s="96" t="n"/>
      <c r="H408" s="21" t="n"/>
      <c r="I408" s="89" t="n"/>
      <c r="J408" s="89" t="n"/>
      <c r="K408" s="89" t="n"/>
      <c r="L408" s="89" t="n"/>
    </row>
    <row r="409">
      <c r="A409" s="9">
        <f>A408+1</f>
        <v/>
      </c>
      <c r="B409" s="2">
        <f>IF(WEEKDAY(C409,2)=1,"Mo",IF(WEEKDAY(C409,2)=2,"Di",IF(WEEKDAY(C409,2)=3,"Mi",IF(WEEKDAY(C409,2)=4,"Do.",IF(WEEKDAY(C409,2)=5,"Fr.",IF(WEEKDAY(C409,2)=6,"Sa.","So"))))))</f>
        <v/>
      </c>
      <c r="C409" s="4">
        <f>C408+1</f>
        <v/>
      </c>
      <c r="D409" s="45" t="n"/>
      <c r="E409" s="96" t="n"/>
      <c r="F409" s="2" t="inlineStr">
        <is>
          <t>h</t>
        </is>
      </c>
      <c r="G409" s="96" t="n"/>
      <c r="H409" s="21" t="n"/>
      <c r="I409" s="89" t="n"/>
      <c r="J409" s="89" t="n"/>
      <c r="K409" s="89" t="n"/>
      <c r="L409" s="89" t="n"/>
    </row>
    <row r="410">
      <c r="A410" s="9">
        <f>A409+1</f>
        <v/>
      </c>
      <c r="B410" s="2">
        <f>IF(WEEKDAY(C410,2)=1,"Mo",IF(WEEKDAY(C410,2)=2,"Di",IF(WEEKDAY(C410,2)=3,"Mi",IF(WEEKDAY(C410,2)=4,"Do.",IF(WEEKDAY(C410,2)=5,"Fr.",IF(WEEKDAY(C410,2)=6,"Sa.","So"))))))</f>
        <v/>
      </c>
      <c r="C410" s="4">
        <f>C409+1</f>
        <v/>
      </c>
      <c r="D410" s="45" t="n"/>
      <c r="E410" s="96" t="n"/>
      <c r="F410" s="2" t="inlineStr">
        <is>
          <t>h</t>
        </is>
      </c>
      <c r="G410" s="96" t="n"/>
      <c r="H410" s="21" t="n"/>
      <c r="I410" s="89" t="n"/>
      <c r="J410" s="89" t="n"/>
      <c r="K410" s="89" t="n"/>
      <c r="L410" s="89" t="n"/>
    </row>
    <row r="411">
      <c r="A411" s="9">
        <f>A410+1</f>
        <v/>
      </c>
      <c r="B411" s="2">
        <f>IF(WEEKDAY(C411,2)=1,"Mo",IF(WEEKDAY(C411,2)=2,"Di",IF(WEEKDAY(C411,2)=3,"Mi",IF(WEEKDAY(C411,2)=4,"Do.",IF(WEEKDAY(C411,2)=5,"Fr.",IF(WEEKDAY(C411,2)=6,"Sa.","So"))))))</f>
        <v/>
      </c>
      <c r="C411" s="4">
        <f>C410+1</f>
        <v/>
      </c>
      <c r="D411" s="45" t="n"/>
      <c r="E411" s="96" t="n"/>
      <c r="F411" s="2" t="inlineStr">
        <is>
          <t>h</t>
        </is>
      </c>
      <c r="G411" s="96" t="n"/>
      <c r="H411" s="21" t="n"/>
      <c r="I411" s="89" t="n"/>
      <c r="J411" s="89" t="n"/>
      <c r="K411" s="89" t="n"/>
      <c r="L411" s="89" t="n"/>
    </row>
    <row r="412">
      <c r="A412" s="9">
        <f>A411+1</f>
        <v/>
      </c>
      <c r="B412" s="2">
        <f>IF(WEEKDAY(C412,2)=1,"Mo",IF(WEEKDAY(C412,2)=2,"Di",IF(WEEKDAY(C412,2)=3,"Mi",IF(WEEKDAY(C412,2)=4,"Do.",IF(WEEKDAY(C412,2)=5,"Fr.",IF(WEEKDAY(C412,2)=6,"Sa.","So"))))))</f>
        <v/>
      </c>
      <c r="C412" s="4">
        <f>C411+1</f>
        <v/>
      </c>
      <c r="D412" s="45" t="n"/>
      <c r="E412" s="96" t="n"/>
      <c r="F412" s="2" t="inlineStr">
        <is>
          <t>h</t>
        </is>
      </c>
      <c r="G412" s="96" t="n"/>
      <c r="H412" s="21" t="n"/>
      <c r="I412" s="89" t="n"/>
      <c r="J412" s="89" t="n"/>
      <c r="K412" s="89" t="n"/>
      <c r="L412" s="89" t="n"/>
    </row>
    <row r="413">
      <c r="A413" s="9">
        <f>A412+1</f>
        <v/>
      </c>
      <c r="B413" s="2">
        <f>IF(WEEKDAY(C413,2)=1,"Mo",IF(WEEKDAY(C413,2)=2,"Di",IF(WEEKDAY(C413,2)=3,"Mi",IF(WEEKDAY(C413,2)=4,"Do.",IF(WEEKDAY(C413,2)=5,"Fr.",IF(WEEKDAY(C413,2)=6,"Sa.","So"))))))</f>
        <v/>
      </c>
      <c r="C413" s="4">
        <f>C412+1</f>
        <v/>
      </c>
      <c r="D413" s="45" t="n"/>
      <c r="E413" s="96" t="n"/>
      <c r="F413" s="2" t="inlineStr">
        <is>
          <t>h</t>
        </is>
      </c>
      <c r="G413" s="96" t="n"/>
      <c r="H413" s="21" t="n"/>
      <c r="I413" s="89" t="n"/>
      <c r="J413" s="89" t="n"/>
      <c r="K413" s="89" t="n"/>
      <c r="L413" s="89" t="n"/>
    </row>
    <row r="414">
      <c r="A414" s="9">
        <f>A413+1</f>
        <v/>
      </c>
      <c r="B414" s="2">
        <f>IF(WEEKDAY(C414,2)=1,"Mo",IF(WEEKDAY(C414,2)=2,"Di",IF(WEEKDAY(C414,2)=3,"Mi",IF(WEEKDAY(C414,2)=4,"Do.",IF(WEEKDAY(C414,2)=5,"Fr.",IF(WEEKDAY(C414,2)=6,"Sa.","So"))))))</f>
        <v/>
      </c>
      <c r="C414" s="4">
        <f>C413+1</f>
        <v/>
      </c>
      <c r="D414" s="45" t="n"/>
      <c r="E414" s="96" t="n"/>
      <c r="F414" s="2" t="inlineStr">
        <is>
          <t>h</t>
        </is>
      </c>
      <c r="G414" s="96" t="n"/>
      <c r="H414" s="21" t="n"/>
      <c r="I414" s="89" t="n"/>
      <c r="J414" s="89" t="n"/>
      <c r="K414" s="89" t="n"/>
      <c r="L414" s="89" t="n"/>
    </row>
    <row r="415">
      <c r="A415" s="9">
        <f>A414+1</f>
        <v/>
      </c>
      <c r="B415" s="2">
        <f>IF(WEEKDAY(C415,2)=1,"Mo",IF(WEEKDAY(C415,2)=2,"Di",IF(WEEKDAY(C415,2)=3,"Mi",IF(WEEKDAY(C415,2)=4,"Do.",IF(WEEKDAY(C415,2)=5,"Fr.",IF(WEEKDAY(C415,2)=6,"Sa.","So"))))))</f>
        <v/>
      </c>
      <c r="C415" s="4">
        <f>C414+1</f>
        <v/>
      </c>
      <c r="D415" s="45" t="n"/>
      <c r="E415" s="96" t="n"/>
      <c r="F415" s="2" t="inlineStr">
        <is>
          <t>h</t>
        </is>
      </c>
      <c r="G415" s="96" t="n"/>
      <c r="H415" s="21" t="n"/>
      <c r="I415" s="89" t="n"/>
      <c r="J415" s="89" t="n"/>
      <c r="K415" s="89" t="n"/>
      <c r="L415" s="89" t="n"/>
    </row>
    <row r="416">
      <c r="A416" s="9">
        <f>A415+1</f>
        <v/>
      </c>
      <c r="B416" s="2">
        <f>IF(WEEKDAY(C416,2)=1,"Mo",IF(WEEKDAY(C416,2)=2,"Di",IF(WEEKDAY(C416,2)=3,"Mi",IF(WEEKDAY(C416,2)=4,"Do.",IF(WEEKDAY(C416,2)=5,"Fr.",IF(WEEKDAY(C416,2)=6,"Sa.","So"))))))</f>
        <v/>
      </c>
      <c r="C416" s="4">
        <f>C415+1</f>
        <v/>
      </c>
      <c r="D416" s="45" t="n"/>
      <c r="E416" s="96" t="n"/>
      <c r="F416" s="2" t="inlineStr">
        <is>
          <t>h</t>
        </is>
      </c>
      <c r="G416" s="96" t="n"/>
      <c r="H416" s="21" t="n"/>
      <c r="I416" s="89" t="n"/>
      <c r="J416" s="89" t="n"/>
      <c r="K416" s="89" t="n"/>
      <c r="L416" s="89" t="n"/>
    </row>
    <row r="417">
      <c r="A417" s="9">
        <f>A416+1</f>
        <v/>
      </c>
      <c r="B417" s="2">
        <f>IF(WEEKDAY(C417,2)=1,"Mo",IF(WEEKDAY(C417,2)=2,"Di",IF(WEEKDAY(C417,2)=3,"Mi",IF(WEEKDAY(C417,2)=4,"Do.",IF(WEEKDAY(C417,2)=5,"Fr.",IF(WEEKDAY(C417,2)=6,"Sa.","So"))))))</f>
        <v/>
      </c>
      <c r="C417" s="4">
        <f>C416+1</f>
        <v/>
      </c>
      <c r="D417" s="45" t="n"/>
      <c r="E417" s="96" t="n"/>
      <c r="F417" s="2" t="inlineStr">
        <is>
          <t>h</t>
        </is>
      </c>
      <c r="G417" s="96" t="n"/>
      <c r="H417" s="21" t="n"/>
      <c r="I417" s="89" t="n"/>
      <c r="J417" s="89" t="n"/>
      <c r="K417" s="89" t="n"/>
      <c r="L417" s="89" t="n"/>
    </row>
    <row r="418">
      <c r="A418" s="9">
        <f>A417+1</f>
        <v/>
      </c>
      <c r="B418" s="2">
        <f>IF(WEEKDAY(C418,2)=1,"Mo",IF(WEEKDAY(C418,2)=2,"Di",IF(WEEKDAY(C418,2)=3,"Mi",IF(WEEKDAY(C418,2)=4,"Do.",IF(WEEKDAY(C418,2)=5,"Fr.",IF(WEEKDAY(C418,2)=6,"Sa.","So"))))))</f>
        <v/>
      </c>
      <c r="C418" s="4">
        <f>C417+1</f>
        <v/>
      </c>
      <c r="D418" s="45" t="n"/>
      <c r="E418" s="96" t="n"/>
      <c r="F418" s="2" t="inlineStr">
        <is>
          <t>h</t>
        </is>
      </c>
      <c r="G418" s="96" t="n"/>
      <c r="H418" s="21" t="n"/>
      <c r="I418" s="89" t="n"/>
      <c r="J418" s="89" t="n"/>
      <c r="K418" s="89" t="n"/>
      <c r="L418" s="89" t="n"/>
    </row>
    <row r="419">
      <c r="A419" s="9">
        <f>A418+1</f>
        <v/>
      </c>
      <c r="B419" s="2">
        <f>IF(WEEKDAY(C419,2)=1,"Mo",IF(WEEKDAY(C419,2)=2,"Di",IF(WEEKDAY(C419,2)=3,"Mi",IF(WEEKDAY(C419,2)=4,"Do.",IF(WEEKDAY(C419,2)=5,"Fr.",IF(WEEKDAY(C419,2)=6,"Sa.","So"))))))</f>
        <v/>
      </c>
      <c r="C419" s="4">
        <f>C418+1</f>
        <v/>
      </c>
      <c r="D419" s="45" t="n"/>
      <c r="E419" s="96" t="n"/>
      <c r="F419" s="2" t="inlineStr">
        <is>
          <t>h</t>
        </is>
      </c>
      <c r="G419" s="96" t="n"/>
      <c r="H419" s="21" t="n"/>
      <c r="I419" s="89" t="n"/>
      <c r="J419" s="89" t="n"/>
      <c r="K419" s="89" t="n"/>
      <c r="L419" s="89" t="n"/>
    </row>
    <row r="420">
      <c r="A420" s="9">
        <f>A419+1</f>
        <v/>
      </c>
      <c r="B420" s="2">
        <f>IF(WEEKDAY(C420,2)=1,"Mo",IF(WEEKDAY(C420,2)=2,"Di",IF(WEEKDAY(C420,2)=3,"Mi",IF(WEEKDAY(C420,2)=4,"Do.",IF(WEEKDAY(C420,2)=5,"Fr.",IF(WEEKDAY(C420,2)=6,"Sa.","So"))))))</f>
        <v/>
      </c>
      <c r="C420" s="4">
        <f>C419+1</f>
        <v/>
      </c>
      <c r="D420" s="45" t="n"/>
      <c r="E420" s="96" t="n"/>
      <c r="F420" s="2" t="inlineStr">
        <is>
          <t>h</t>
        </is>
      </c>
      <c r="G420" s="96" t="n"/>
      <c r="H420" s="21" t="n"/>
      <c r="I420" s="89" t="n"/>
      <c r="J420" s="89" t="n"/>
      <c r="K420" s="89" t="n"/>
      <c r="L420" s="89" t="n"/>
    </row>
    <row r="421">
      <c r="A421" s="9">
        <f>A420+1</f>
        <v/>
      </c>
      <c r="B421" s="2">
        <f>IF(WEEKDAY(C421,2)=1,"Mo",IF(WEEKDAY(C421,2)=2,"Di",IF(WEEKDAY(C421,2)=3,"Mi",IF(WEEKDAY(C421,2)=4,"Do.",IF(WEEKDAY(C421,2)=5,"Fr.",IF(WEEKDAY(C421,2)=6,"Sa.","So"))))))</f>
        <v/>
      </c>
      <c r="C421" s="4">
        <f>C420+1</f>
        <v/>
      </c>
      <c r="D421" s="45" t="n"/>
      <c r="E421" s="96" t="n"/>
      <c r="F421" s="2" t="inlineStr">
        <is>
          <t>h</t>
        </is>
      </c>
      <c r="G421" s="96" t="n"/>
      <c r="H421" s="21" t="n"/>
      <c r="I421" s="89" t="n"/>
      <c r="J421" s="89" t="n"/>
      <c r="K421" s="89" t="n"/>
      <c r="L421" s="89" t="n"/>
    </row>
    <row r="422">
      <c r="A422" s="9">
        <f>A421+1</f>
        <v/>
      </c>
      <c r="B422" s="2">
        <f>IF(WEEKDAY(C422,2)=1,"Mo",IF(WEEKDAY(C422,2)=2,"Di",IF(WEEKDAY(C422,2)=3,"Mi",IF(WEEKDAY(C422,2)=4,"Do.",IF(WEEKDAY(C422,2)=5,"Fr.",IF(WEEKDAY(C422,2)=6,"Sa.","So"))))))</f>
        <v/>
      </c>
      <c r="C422" s="4">
        <f>C421+1</f>
        <v/>
      </c>
      <c r="D422" s="45" t="n"/>
      <c r="E422" s="96" t="n"/>
      <c r="F422" s="2" t="inlineStr">
        <is>
          <t>h</t>
        </is>
      </c>
      <c r="G422" s="96" t="n"/>
      <c r="H422" s="21" t="n"/>
      <c r="I422" s="89" t="n"/>
      <c r="J422" s="89" t="n"/>
      <c r="K422" s="89" t="n"/>
      <c r="L422" s="89" t="n"/>
    </row>
    <row r="423">
      <c r="A423" s="9">
        <f>A422+1</f>
        <v/>
      </c>
      <c r="B423" s="2">
        <f>IF(WEEKDAY(C423,2)=1,"Mo",IF(WEEKDAY(C423,2)=2,"Di",IF(WEEKDAY(C423,2)=3,"Mi",IF(WEEKDAY(C423,2)=4,"Do.",IF(WEEKDAY(C423,2)=5,"Fr.",IF(WEEKDAY(C423,2)=6,"Sa.","So"))))))</f>
        <v/>
      </c>
      <c r="C423" s="4">
        <f>C422+1</f>
        <v/>
      </c>
      <c r="D423" s="45" t="n"/>
      <c r="E423" s="96" t="n"/>
      <c r="F423" s="2" t="inlineStr">
        <is>
          <t>h</t>
        </is>
      </c>
      <c r="G423" s="96" t="n"/>
      <c r="H423" s="21" t="n"/>
      <c r="I423" s="89" t="n"/>
      <c r="J423" s="89" t="n"/>
      <c r="K423" s="89" t="n"/>
      <c r="L423" s="89" t="n"/>
    </row>
    <row r="424">
      <c r="A424" s="9">
        <f>A423+1</f>
        <v/>
      </c>
      <c r="B424" s="2">
        <f>IF(WEEKDAY(C424,2)=1,"Mo",IF(WEEKDAY(C424,2)=2,"Di",IF(WEEKDAY(C424,2)=3,"Mi",IF(WEEKDAY(C424,2)=4,"Do.",IF(WEEKDAY(C424,2)=5,"Fr.",IF(WEEKDAY(C424,2)=6,"Sa.","So"))))))</f>
        <v/>
      </c>
      <c r="C424" s="4">
        <f>C423+1</f>
        <v/>
      </c>
      <c r="D424" s="45" t="n"/>
      <c r="E424" s="96" t="n"/>
      <c r="F424" s="2" t="inlineStr">
        <is>
          <t>h</t>
        </is>
      </c>
      <c r="G424" s="96" t="n"/>
      <c r="H424" s="21" t="n"/>
      <c r="I424" s="89" t="n"/>
      <c r="J424" s="89" t="n"/>
      <c r="K424" s="89" t="n"/>
      <c r="L424" s="89" t="n"/>
    </row>
    <row r="425">
      <c r="A425" s="9">
        <f>A424+1</f>
        <v/>
      </c>
      <c r="B425" s="2">
        <f>IF(WEEKDAY(C425,2)=1,"Mo",IF(WEEKDAY(C425,2)=2,"Di",IF(WEEKDAY(C425,2)=3,"Mi",IF(WEEKDAY(C425,2)=4,"Do.",IF(WEEKDAY(C425,2)=5,"Fr.",IF(WEEKDAY(C425,2)=6,"Sa.","So"))))))</f>
        <v/>
      </c>
      <c r="C425" s="4">
        <f>C424+1</f>
        <v/>
      </c>
      <c r="D425" s="45" t="n"/>
      <c r="E425" s="96" t="n"/>
      <c r="F425" s="2" t="inlineStr">
        <is>
          <t>h</t>
        </is>
      </c>
      <c r="G425" s="96" t="n"/>
      <c r="H425" s="21" t="n"/>
      <c r="I425" s="89" t="n"/>
      <c r="J425" s="89" t="n"/>
      <c r="K425" s="89" t="n"/>
      <c r="L425" s="89" t="n"/>
    </row>
    <row r="426">
      <c r="A426" s="9">
        <f>A425+1</f>
        <v/>
      </c>
      <c r="B426" s="2">
        <f>IF(WEEKDAY(C426,2)=1,"Mo",IF(WEEKDAY(C426,2)=2,"Di",IF(WEEKDAY(C426,2)=3,"Mi",IF(WEEKDAY(C426,2)=4,"Do.",IF(WEEKDAY(C426,2)=5,"Fr.",IF(WEEKDAY(C426,2)=6,"Sa.","So"))))))</f>
        <v/>
      </c>
      <c r="C426" s="4">
        <f>C425+1</f>
        <v/>
      </c>
      <c r="D426" s="45" t="n"/>
      <c r="E426" s="96" t="n"/>
      <c r="F426" s="2" t="inlineStr">
        <is>
          <t>h</t>
        </is>
      </c>
      <c r="G426" s="96" t="n"/>
      <c r="H426" s="21" t="n"/>
      <c r="I426" s="89" t="n"/>
      <c r="J426" s="89" t="n"/>
      <c r="K426" s="89" t="n"/>
      <c r="L426" s="89" t="n"/>
    </row>
    <row r="427">
      <c r="A427" s="9">
        <f>A426+1</f>
        <v/>
      </c>
      <c r="B427" s="2">
        <f>IF(WEEKDAY(C427,2)=1,"Mo",IF(WEEKDAY(C427,2)=2,"Di",IF(WEEKDAY(C427,2)=3,"Mi",IF(WEEKDAY(C427,2)=4,"Do.",IF(WEEKDAY(C427,2)=5,"Fr.",IF(WEEKDAY(C427,2)=6,"Sa.","So"))))))</f>
        <v/>
      </c>
      <c r="C427" s="4">
        <f>C426+1</f>
        <v/>
      </c>
      <c r="D427" s="45" t="n"/>
      <c r="E427" s="96" t="n"/>
      <c r="F427" s="2" t="inlineStr">
        <is>
          <t>h</t>
        </is>
      </c>
      <c r="G427" s="96" t="n"/>
      <c r="H427" s="21" t="n"/>
      <c r="I427" s="89" t="n"/>
      <c r="J427" s="89" t="n"/>
      <c r="K427" s="89" t="n"/>
      <c r="L427" s="89" t="n"/>
    </row>
    <row r="428">
      <c r="A428" s="9">
        <f>A427+1</f>
        <v/>
      </c>
      <c r="B428" s="2">
        <f>IF(WEEKDAY(C428,2)=1,"Mo",IF(WEEKDAY(C428,2)=2,"Di",IF(WEEKDAY(C428,2)=3,"Mi",IF(WEEKDAY(C428,2)=4,"Do.",IF(WEEKDAY(C428,2)=5,"Fr.",IF(WEEKDAY(C428,2)=6,"Sa.","So"))))))</f>
        <v/>
      </c>
      <c r="C428" s="4">
        <f>C427+1</f>
        <v/>
      </c>
      <c r="D428" s="45" t="n"/>
      <c r="E428" s="96" t="n"/>
      <c r="F428" s="2" t="inlineStr">
        <is>
          <t>h</t>
        </is>
      </c>
      <c r="G428" s="96" t="n"/>
      <c r="H428" s="21" t="n"/>
      <c r="I428" s="89" t="n"/>
      <c r="J428" s="89" t="n"/>
      <c r="K428" s="89" t="n"/>
      <c r="L428" s="89" t="n"/>
    </row>
    <row r="429">
      <c r="A429" s="9">
        <f>A428+1</f>
        <v/>
      </c>
      <c r="B429" s="2">
        <f>IF(WEEKDAY(C429,2)=1,"Mo",IF(WEEKDAY(C429,2)=2,"Di",IF(WEEKDAY(C429,2)=3,"Mi",IF(WEEKDAY(C429,2)=4,"Do.",IF(WEEKDAY(C429,2)=5,"Fr.",IF(WEEKDAY(C429,2)=6,"Sa.","So"))))))</f>
        <v/>
      </c>
      <c r="C429" s="4">
        <f>C428+1</f>
        <v/>
      </c>
      <c r="D429" s="45" t="n"/>
      <c r="E429" s="96" t="n"/>
      <c r="F429" s="2" t="inlineStr">
        <is>
          <t>h</t>
        </is>
      </c>
      <c r="G429" s="96" t="n"/>
      <c r="H429" s="21" t="n"/>
      <c r="I429" s="89" t="n"/>
      <c r="J429" s="89" t="n"/>
      <c r="K429" s="89" t="n"/>
      <c r="L429" s="89" t="n"/>
    </row>
    <row r="430" ht="14.25" customHeight="1" thickBot="1">
      <c r="A430" s="10">
        <f>A429+1</f>
        <v/>
      </c>
      <c r="B430" s="11">
        <f>IF(WEEKDAY(C430,2)=1,"Mo",IF(WEEKDAY(C430,2)=2,"Di",IF(WEEKDAY(C430,2)=3,"Mi",IF(WEEKDAY(C430,2)=4,"Do.",IF(WEEKDAY(C430,2)=5,"Fr.",IF(WEEKDAY(C430,2)=6,"Sa.","So"))))))</f>
        <v/>
      </c>
      <c r="C430" s="12">
        <f>C429+1</f>
        <v/>
      </c>
      <c r="D430" s="46" t="n"/>
      <c r="E430" s="13" t="n"/>
      <c r="F430" s="11" t="inlineStr">
        <is>
          <t>h</t>
        </is>
      </c>
      <c r="G430" s="13" t="n"/>
      <c r="H430" s="22" t="n"/>
      <c r="I430" s="89" t="n"/>
      <c r="J430" s="89" t="n"/>
      <c r="K430" s="89" t="n"/>
      <c r="L430" s="89" t="n"/>
      <c r="N430" s="49" t="n"/>
      <c r="O430" s="50" t="inlineStr">
        <is>
          <t xml:space="preserve">Hier sollte der letzte Seitenumbruch (Seite 6 Ende) zu sehen sein.  (Reiter "Ansicht &gt; Umbruchsvorschau) </t>
        </is>
      </c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N431" s="48" t="n"/>
      <c r="O431" s="1" t="inlineStr">
        <is>
          <t>Sie könne mit der Maus den Umbruch verschieben.</t>
        </is>
      </c>
    </row>
    <row r="432">
      <c r="A432" s="106">
        <f>Student_Name</f>
        <v/>
      </c>
      <c r="B432" s="116" t="n"/>
      <c r="C432" s="116" t="n"/>
      <c r="D432" s="116" t="n"/>
      <c r="E432" s="116" t="n"/>
      <c r="F432" s="116" t="n"/>
      <c r="G432" s="100" t="n"/>
      <c r="H432" s="106">
        <f>Ausbildungsbetrieb_Unternehmen</f>
        <v/>
      </c>
      <c r="I432" s="100" t="n"/>
      <c r="J432" s="100" t="n"/>
      <c r="K432" s="100" t="n"/>
      <c r="L432" s="100" t="n"/>
    </row>
    <row r="433">
      <c r="A433" s="28" t="inlineStr">
        <is>
          <t>Name</t>
        </is>
      </c>
      <c r="B433" s="28" t="n"/>
      <c r="C433" s="28" t="n"/>
      <c r="D433" s="28" t="n"/>
      <c r="E433" s="28" t="n"/>
      <c r="F433" s="28" t="n"/>
      <c r="G433" s="28" t="n"/>
      <c r="H433" s="28" t="inlineStr">
        <is>
          <t>Ausbildungsbetrieb</t>
        </is>
      </c>
      <c r="I433" s="28" t="n"/>
      <c r="J433" s="28" t="n"/>
      <c r="K433" s="28" t="n"/>
      <c r="L433" s="28" t="n"/>
    </row>
    <row r="434">
      <c r="A434" s="100" t="n"/>
      <c r="B434" s="100" t="n"/>
      <c r="C434" s="100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</row>
    <row r="435">
      <c r="A435" s="106">
        <f>Student_Vorname</f>
        <v/>
      </c>
      <c r="B435" s="116" t="n"/>
      <c r="C435" s="116" t="n"/>
      <c r="D435" s="116" t="n"/>
      <c r="E435" s="116" t="n"/>
      <c r="F435" s="116" t="n"/>
      <c r="G435" s="100" t="n"/>
      <c r="H435" s="106">
        <f>CONCATENATE(Ausbildungsbetrieb_Vorname, " ", Ausbildungsbetrieb_Name)</f>
        <v/>
      </c>
      <c r="I435" s="100" t="n"/>
      <c r="J435" s="100" t="n"/>
      <c r="K435" s="100" t="n"/>
      <c r="L435" s="100" t="n"/>
    </row>
    <row r="436">
      <c r="A436" s="28" t="inlineStr">
        <is>
          <t>Vorname</t>
        </is>
      </c>
      <c r="B436" s="28" t="n"/>
      <c r="C436" s="28" t="n"/>
      <c r="D436" s="28" t="n"/>
      <c r="E436" s="28" t="n"/>
      <c r="F436" s="28" t="n"/>
      <c r="G436" s="28" t="n"/>
      <c r="H436" s="28" t="inlineStr">
        <is>
          <t>Ansprechpartner im Betrieb</t>
        </is>
      </c>
      <c r="I436" s="28" t="n"/>
      <c r="J436" s="28" t="n"/>
      <c r="K436" s="28" t="n"/>
      <c r="L436" s="28" t="n"/>
    </row>
    <row r="437">
      <c r="A437" s="100" t="n"/>
      <c r="B437" s="100" t="n"/>
      <c r="C437" s="100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</row>
    <row r="438">
      <c r="A438" s="106">
        <f>Student_Studiengruppe</f>
        <v/>
      </c>
      <c r="B438" s="116" t="n"/>
      <c r="C438" s="116" t="n"/>
      <c r="D438" s="116" t="n"/>
      <c r="E438" s="116" t="n"/>
      <c r="F438" s="116" t="n"/>
      <c r="G438" s="100" t="n"/>
      <c r="H438" s="106">
        <f>Ausbildungsbetrieb_Email</f>
        <v/>
      </c>
      <c r="I438" s="100" t="n"/>
      <c r="J438" s="100" t="n"/>
      <c r="K438" s="100" t="n"/>
      <c r="L438" s="100" t="n"/>
    </row>
    <row r="439">
      <c r="A439" s="28" t="inlineStr">
        <is>
          <t>Studiengruppe</t>
        </is>
      </c>
      <c r="B439" s="28" t="n"/>
      <c r="C439" s="28" t="n"/>
      <c r="D439" s="28" t="n"/>
      <c r="E439" s="28" t="n"/>
      <c r="F439" s="28" t="n"/>
      <c r="G439" s="28" t="n"/>
      <c r="H439" s="28" t="inlineStr">
        <is>
          <t>Email Ansprechpartner</t>
        </is>
      </c>
      <c r="I439" s="28" t="n"/>
      <c r="J439" s="28" t="n"/>
      <c r="K439" s="28" t="n"/>
      <c r="L439" s="28" t="n"/>
    </row>
    <row r="440">
      <c r="A440" s="100" t="n"/>
      <c r="B440" s="100" t="n"/>
      <c r="C440" s="100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</row>
    <row r="441">
      <c r="A441" s="106">
        <f>Student_Matrikelnummer</f>
        <v/>
      </c>
      <c r="B441" s="116" t="n"/>
      <c r="C441" s="116" t="n"/>
      <c r="D441" s="116" t="n"/>
      <c r="E441" s="116" t="n"/>
      <c r="F441" s="116" t="n"/>
      <c r="G441" s="100" t="n"/>
      <c r="H441" s="106">
        <f>Ausbildungsbetrieb_Telefon</f>
        <v/>
      </c>
      <c r="I441" s="100" t="n"/>
      <c r="J441" s="100" t="n"/>
      <c r="K441" s="100" t="n"/>
      <c r="L441" s="100" t="n"/>
    </row>
    <row r="442">
      <c r="A442" s="28" t="inlineStr">
        <is>
          <t>Matrikelnummer</t>
        </is>
      </c>
      <c r="B442" s="28" t="n"/>
      <c r="C442" s="28" t="n"/>
      <c r="D442" s="28" t="n"/>
      <c r="E442" s="28" t="n"/>
      <c r="F442" s="28" t="n"/>
      <c r="G442" s="28" t="n"/>
      <c r="H442" s="28" t="inlineStr">
        <is>
          <t>Telefon Ansprechpartner</t>
        </is>
      </c>
      <c r="I442" s="28" t="n"/>
      <c r="J442" s="28" t="n"/>
      <c r="K442" s="28" t="n"/>
      <c r="L442" s="28" t="n"/>
    </row>
    <row r="443" ht="14.25" customHeight="1" thickBot="1">
      <c r="A443" s="100" t="n"/>
      <c r="B443" s="100" t="n"/>
      <c r="C443" s="100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</row>
    <row r="444">
      <c r="A444" s="14" t="n"/>
      <c r="B444" s="15" t="n"/>
      <c r="C444" s="15" t="n"/>
      <c r="D444" s="15" t="n"/>
      <c r="E444" s="15" t="inlineStr">
        <is>
          <t>Typ</t>
        </is>
      </c>
      <c r="F444" s="15" t="n"/>
      <c r="G444" s="15" t="n"/>
      <c r="H444" s="16" t="inlineStr">
        <is>
          <t>Vorlesung besucht?</t>
        </is>
      </c>
      <c r="I444" s="85" t="n"/>
      <c r="J444" s="85" t="n"/>
      <c r="K444" s="85" t="n"/>
      <c r="L444" s="85" t="n"/>
    </row>
    <row r="445" ht="14.25" customHeight="1" thickBot="1">
      <c r="A445" s="107" t="inlineStr">
        <is>
          <t>Tag</t>
        </is>
      </c>
      <c r="B445" s="117" t="n"/>
      <c r="C445" s="17" t="inlineStr">
        <is>
          <t>Datum</t>
        </is>
      </c>
      <c r="D445" s="17" t="n"/>
      <c r="E445" s="109" t="inlineStr">
        <is>
          <t>Anwesen-heitszeit im Betrieb</t>
        </is>
      </c>
      <c r="F445" s="117" t="n"/>
      <c r="G445" s="109" t="n"/>
      <c r="H445" s="19" t="inlineStr">
        <is>
          <t>genaue Angaben zu den Tätigkeiten</t>
        </is>
      </c>
      <c r="I445" s="85" t="n"/>
      <c r="J445" s="85" t="n"/>
      <c r="K445" s="85" t="n"/>
      <c r="L445" s="85" t="n"/>
    </row>
    <row r="446">
      <c r="A446" s="5">
        <f>A430+1</f>
        <v/>
      </c>
      <c r="B446" s="6">
        <f>IF(WEEKDAY(C446,2)=1,"Mo",IF(WEEKDAY(C446,2)=2,"Di",IF(WEEKDAY(C446,2)=3,"Mi",IF(WEEKDAY(C446,2)=4,"Do.",IF(WEEKDAY(C446,2)=5,"Fr.",IF(WEEKDAY(C446,2)=6,"Sa.","So"))))))</f>
        <v/>
      </c>
      <c r="C446" s="7">
        <f>C430+1</f>
        <v/>
      </c>
      <c r="D446" s="44" t="n"/>
      <c r="E446" s="8" t="n"/>
      <c r="F446" s="6" t="inlineStr">
        <is>
          <t>h</t>
        </is>
      </c>
      <c r="G446" s="8" t="n"/>
      <c r="H446" s="20" t="n"/>
      <c r="I446" s="89" t="n"/>
      <c r="J446" s="89" t="n"/>
      <c r="K446" s="89" t="n"/>
      <c r="L446" s="89" t="n"/>
    </row>
    <row r="447">
      <c r="A447" s="9">
        <f>A446+1</f>
        <v/>
      </c>
      <c r="B447" s="2">
        <f>IF(WEEKDAY(C447,2)=1,"Mo",IF(WEEKDAY(C447,2)=2,"Di",IF(WEEKDAY(C447,2)=3,"Mi",IF(WEEKDAY(C447,2)=4,"Do.",IF(WEEKDAY(C447,2)=5,"Fr.",IF(WEEKDAY(C447,2)=6,"Sa.","So"))))))</f>
        <v/>
      </c>
      <c r="C447" s="4">
        <f>C446+1</f>
        <v/>
      </c>
      <c r="D447" s="45" t="n"/>
      <c r="E447" s="96" t="n"/>
      <c r="F447" s="2" t="inlineStr">
        <is>
          <t>h</t>
        </is>
      </c>
      <c r="G447" s="96" t="n"/>
      <c r="H447" s="21" t="n"/>
      <c r="I447" s="89" t="n"/>
      <c r="J447" s="89" t="n"/>
      <c r="K447" s="89" t="n"/>
      <c r="L447" s="89" t="n"/>
    </row>
    <row r="448">
      <c r="A448" s="9">
        <f>A447+1</f>
        <v/>
      </c>
      <c r="B448" s="2">
        <f>IF(WEEKDAY(C448,2)=1,"Mo",IF(WEEKDAY(C448,2)=2,"Di",IF(WEEKDAY(C448,2)=3,"Mi",IF(WEEKDAY(C448,2)=4,"Do.",IF(WEEKDAY(C448,2)=5,"Fr.",IF(WEEKDAY(C448,2)=6,"Sa.","So"))))))</f>
        <v/>
      </c>
      <c r="C448" s="4">
        <f>C447+1</f>
        <v/>
      </c>
      <c r="D448" s="45" t="n"/>
      <c r="E448" s="96" t="n"/>
      <c r="F448" s="2" t="inlineStr">
        <is>
          <t>h</t>
        </is>
      </c>
      <c r="G448" s="96" t="n"/>
      <c r="H448" s="21" t="n"/>
      <c r="I448" s="89" t="n"/>
      <c r="J448" s="89" t="n"/>
      <c r="K448" s="89" t="n"/>
      <c r="L448" s="89" t="n"/>
    </row>
    <row r="449">
      <c r="A449" s="9">
        <f>A448+1</f>
        <v/>
      </c>
      <c r="B449" s="2">
        <f>IF(WEEKDAY(C449,2)=1,"Mo",IF(WEEKDAY(C449,2)=2,"Di",IF(WEEKDAY(C449,2)=3,"Mi",IF(WEEKDAY(C449,2)=4,"Do.",IF(WEEKDAY(C449,2)=5,"Fr.",IF(WEEKDAY(C449,2)=6,"Sa.","So"))))))</f>
        <v/>
      </c>
      <c r="C449" s="4">
        <f>C448+1</f>
        <v/>
      </c>
      <c r="D449" s="45" t="n"/>
      <c r="E449" s="96" t="n"/>
      <c r="F449" s="2" t="inlineStr">
        <is>
          <t>h</t>
        </is>
      </c>
      <c r="G449" s="96" t="n"/>
      <c r="H449" s="21" t="n"/>
      <c r="I449" s="89" t="n"/>
      <c r="J449" s="89" t="n"/>
      <c r="K449" s="89" t="n"/>
      <c r="L449" s="89" t="n"/>
    </row>
    <row r="450">
      <c r="A450" s="9">
        <f>A449+1</f>
        <v/>
      </c>
      <c r="B450" s="2">
        <f>IF(WEEKDAY(C450,2)=1,"Mo",IF(WEEKDAY(C450,2)=2,"Di",IF(WEEKDAY(C450,2)=3,"Mi",IF(WEEKDAY(C450,2)=4,"Do.",IF(WEEKDAY(C450,2)=5,"Fr.",IF(WEEKDAY(C450,2)=6,"Sa.","So"))))))</f>
        <v/>
      </c>
      <c r="C450" s="4">
        <f>C449+1</f>
        <v/>
      </c>
      <c r="D450" s="45" t="n"/>
      <c r="E450" s="96" t="n"/>
      <c r="F450" s="2" t="inlineStr">
        <is>
          <t>h</t>
        </is>
      </c>
      <c r="G450" s="96" t="n"/>
      <c r="H450" s="21" t="n"/>
      <c r="I450" s="89" t="n"/>
      <c r="J450" s="89" t="n"/>
      <c r="K450" s="89" t="n"/>
      <c r="L450" s="89" t="n"/>
    </row>
    <row r="451">
      <c r="A451" s="9">
        <f>A450+1</f>
        <v/>
      </c>
      <c r="B451" s="2">
        <f>IF(WEEKDAY(C451,2)=1,"Mo",IF(WEEKDAY(C451,2)=2,"Di",IF(WEEKDAY(C451,2)=3,"Mi",IF(WEEKDAY(C451,2)=4,"Do.",IF(WEEKDAY(C451,2)=5,"Fr.",IF(WEEKDAY(C451,2)=6,"Sa.","So"))))))</f>
        <v/>
      </c>
      <c r="C451" s="4">
        <f>C450+1</f>
        <v/>
      </c>
      <c r="D451" s="45" t="n"/>
      <c r="E451" s="96" t="n"/>
      <c r="F451" s="2" t="inlineStr">
        <is>
          <t>h</t>
        </is>
      </c>
      <c r="G451" s="96" t="n"/>
      <c r="H451" s="21" t="n"/>
      <c r="I451" s="89" t="n"/>
      <c r="J451" s="89" t="n"/>
      <c r="K451" s="89" t="n"/>
      <c r="L451" s="89" t="n"/>
    </row>
    <row r="452">
      <c r="A452" s="9">
        <f>A451+1</f>
        <v/>
      </c>
      <c r="B452" s="2">
        <f>IF(WEEKDAY(C452,2)=1,"Mo",IF(WEEKDAY(C452,2)=2,"Di",IF(WEEKDAY(C452,2)=3,"Mi",IF(WEEKDAY(C452,2)=4,"Do.",IF(WEEKDAY(C452,2)=5,"Fr.",IF(WEEKDAY(C452,2)=6,"Sa.","So"))))))</f>
        <v/>
      </c>
      <c r="C452" s="4">
        <f>C451+1</f>
        <v/>
      </c>
      <c r="D452" s="45" t="n"/>
      <c r="E452" s="96" t="n"/>
      <c r="F452" s="2" t="inlineStr">
        <is>
          <t>h</t>
        </is>
      </c>
      <c r="G452" s="96" t="n"/>
      <c r="H452" s="21" t="n"/>
      <c r="I452" s="89" t="n"/>
      <c r="J452" s="89" t="n"/>
      <c r="K452" s="89" t="n"/>
      <c r="L452" s="89" t="n"/>
    </row>
    <row r="453">
      <c r="A453" s="9">
        <f>A452+1</f>
        <v/>
      </c>
      <c r="B453" s="2">
        <f>IF(WEEKDAY(C453,2)=1,"Mo",IF(WEEKDAY(C453,2)=2,"Di",IF(WEEKDAY(C453,2)=3,"Mi",IF(WEEKDAY(C453,2)=4,"Do.",IF(WEEKDAY(C453,2)=5,"Fr.",IF(WEEKDAY(C453,2)=6,"Sa.","So"))))))</f>
        <v/>
      </c>
      <c r="C453" s="4">
        <f>C452+1</f>
        <v/>
      </c>
      <c r="D453" s="45" t="n"/>
      <c r="E453" s="96" t="n"/>
      <c r="F453" s="2" t="inlineStr">
        <is>
          <t>h</t>
        </is>
      </c>
      <c r="G453" s="96" t="n"/>
      <c r="H453" s="21" t="n"/>
      <c r="I453" s="89" t="n"/>
      <c r="J453" s="89" t="n"/>
      <c r="K453" s="89" t="n"/>
      <c r="L453" s="89" t="n"/>
    </row>
    <row r="454">
      <c r="A454" s="9">
        <f>A453+1</f>
        <v/>
      </c>
      <c r="B454" s="2">
        <f>IF(WEEKDAY(C454,2)=1,"Mo",IF(WEEKDAY(C454,2)=2,"Di",IF(WEEKDAY(C454,2)=3,"Mi",IF(WEEKDAY(C454,2)=4,"Do.",IF(WEEKDAY(C454,2)=5,"Fr.",IF(WEEKDAY(C454,2)=6,"Sa.","So"))))))</f>
        <v/>
      </c>
      <c r="C454" s="4">
        <f>C453+1</f>
        <v/>
      </c>
      <c r="D454" s="45" t="n"/>
      <c r="E454" s="96" t="n"/>
      <c r="F454" s="2" t="inlineStr">
        <is>
          <t>h</t>
        </is>
      </c>
      <c r="G454" s="96" t="n"/>
      <c r="H454" s="21" t="n"/>
      <c r="I454" s="89" t="n"/>
      <c r="J454" s="89" t="n"/>
      <c r="K454" s="89" t="n"/>
      <c r="L454" s="89" t="n"/>
    </row>
    <row r="455">
      <c r="A455" s="9">
        <f>A454+1</f>
        <v/>
      </c>
      <c r="B455" s="2">
        <f>IF(WEEKDAY(C455,2)=1,"Mo",IF(WEEKDAY(C455,2)=2,"Di",IF(WEEKDAY(C455,2)=3,"Mi",IF(WEEKDAY(C455,2)=4,"Do.",IF(WEEKDAY(C455,2)=5,"Fr.",IF(WEEKDAY(C455,2)=6,"Sa.","So"))))))</f>
        <v/>
      </c>
      <c r="C455" s="4">
        <f>C454+1</f>
        <v/>
      </c>
      <c r="D455" s="45" t="n"/>
      <c r="E455" s="96" t="n"/>
      <c r="F455" s="2" t="inlineStr">
        <is>
          <t>h</t>
        </is>
      </c>
      <c r="G455" s="96" t="n"/>
      <c r="H455" s="21" t="n"/>
      <c r="I455" s="89" t="n"/>
      <c r="J455" s="89" t="n"/>
      <c r="K455" s="89" t="n"/>
      <c r="L455" s="89" t="n"/>
    </row>
    <row r="456">
      <c r="A456" s="9">
        <f>A455+1</f>
        <v/>
      </c>
      <c r="B456" s="2">
        <f>IF(WEEKDAY(C456,2)=1,"Mo",IF(WEEKDAY(C456,2)=2,"Di",IF(WEEKDAY(C456,2)=3,"Mi",IF(WEEKDAY(C456,2)=4,"Do.",IF(WEEKDAY(C456,2)=5,"Fr.",IF(WEEKDAY(C456,2)=6,"Sa.","So"))))))</f>
        <v/>
      </c>
      <c r="C456" s="4">
        <f>C455+1</f>
        <v/>
      </c>
      <c r="D456" s="45" t="n"/>
      <c r="E456" s="96" t="n"/>
      <c r="F456" s="2" t="inlineStr">
        <is>
          <t>h</t>
        </is>
      </c>
      <c r="G456" s="96" t="n"/>
      <c r="H456" s="21" t="n"/>
      <c r="I456" s="89" t="n"/>
      <c r="J456" s="89" t="n"/>
      <c r="K456" s="89" t="n"/>
      <c r="L456" s="89" t="n"/>
    </row>
    <row r="457">
      <c r="A457" s="9">
        <f>A456+1</f>
        <v/>
      </c>
      <c r="B457" s="2">
        <f>IF(WEEKDAY(C457,2)=1,"Mo",IF(WEEKDAY(C457,2)=2,"Di",IF(WEEKDAY(C457,2)=3,"Mi",IF(WEEKDAY(C457,2)=4,"Do.",IF(WEEKDAY(C457,2)=5,"Fr.",IF(WEEKDAY(C457,2)=6,"Sa.","So"))))))</f>
        <v/>
      </c>
      <c r="C457" s="4">
        <f>C456+1</f>
        <v/>
      </c>
      <c r="D457" s="45" t="n"/>
      <c r="E457" s="96" t="n"/>
      <c r="F457" s="2" t="inlineStr">
        <is>
          <t>h</t>
        </is>
      </c>
      <c r="G457" s="96" t="n"/>
      <c r="H457" s="21" t="n"/>
      <c r="I457" s="89" t="n"/>
      <c r="J457" s="89" t="n"/>
      <c r="K457" s="89" t="n"/>
      <c r="L457" s="89" t="n"/>
    </row>
    <row r="458">
      <c r="A458" s="9">
        <f>A457+1</f>
        <v/>
      </c>
      <c r="B458" s="2">
        <f>IF(WEEKDAY(C458,2)=1,"Mo",IF(WEEKDAY(C458,2)=2,"Di",IF(WEEKDAY(C458,2)=3,"Mi",IF(WEEKDAY(C458,2)=4,"Do.",IF(WEEKDAY(C458,2)=5,"Fr.",IF(WEEKDAY(C458,2)=6,"Sa.","So"))))))</f>
        <v/>
      </c>
      <c r="C458" s="4">
        <f>C457+1</f>
        <v/>
      </c>
      <c r="D458" s="45" t="n"/>
      <c r="E458" s="96" t="n"/>
      <c r="F458" s="2" t="inlineStr">
        <is>
          <t>h</t>
        </is>
      </c>
      <c r="G458" s="96" t="n"/>
      <c r="H458" s="21" t="n"/>
      <c r="I458" s="89" t="n"/>
      <c r="J458" s="89" t="n"/>
      <c r="K458" s="89" t="n"/>
      <c r="L458" s="89" t="n"/>
    </row>
    <row r="459">
      <c r="A459" s="9">
        <f>A458+1</f>
        <v/>
      </c>
      <c r="B459" s="2">
        <f>IF(WEEKDAY(C459,2)=1,"Mo",IF(WEEKDAY(C459,2)=2,"Di",IF(WEEKDAY(C459,2)=3,"Mi",IF(WEEKDAY(C459,2)=4,"Do.",IF(WEEKDAY(C459,2)=5,"Fr.",IF(WEEKDAY(C459,2)=6,"Sa.","So"))))))</f>
        <v/>
      </c>
      <c r="C459" s="4">
        <f>C458+1</f>
        <v/>
      </c>
      <c r="D459" s="45" t="n"/>
      <c r="E459" s="96" t="n"/>
      <c r="F459" s="2" t="inlineStr">
        <is>
          <t>h</t>
        </is>
      </c>
      <c r="G459" s="96" t="n"/>
      <c r="H459" s="21" t="n"/>
      <c r="I459" s="89" t="n"/>
      <c r="J459" s="89" t="n"/>
      <c r="K459" s="89" t="n"/>
      <c r="L459" s="89" t="n"/>
    </row>
    <row r="460">
      <c r="A460" s="9">
        <f>A459+1</f>
        <v/>
      </c>
      <c r="B460" s="2">
        <f>IF(WEEKDAY(C460,2)=1,"Mo",IF(WEEKDAY(C460,2)=2,"Di",IF(WEEKDAY(C460,2)=3,"Mi",IF(WEEKDAY(C460,2)=4,"Do.",IF(WEEKDAY(C460,2)=5,"Fr.",IF(WEEKDAY(C460,2)=6,"Sa.","So"))))))</f>
        <v/>
      </c>
      <c r="C460" s="4">
        <f>C459+1</f>
        <v/>
      </c>
      <c r="D460" s="45" t="n"/>
      <c r="E460" s="96" t="n"/>
      <c r="F460" s="2" t="inlineStr">
        <is>
          <t>h</t>
        </is>
      </c>
      <c r="G460" s="96" t="n"/>
      <c r="H460" s="21" t="n"/>
      <c r="I460" s="89" t="n"/>
      <c r="J460" s="89" t="n"/>
      <c r="K460" s="89" t="n"/>
      <c r="L460" s="89" t="n"/>
    </row>
    <row r="461">
      <c r="A461" s="9">
        <f>A460+1</f>
        <v/>
      </c>
      <c r="B461" s="2">
        <f>IF(WEEKDAY(C461,2)=1,"Mo",IF(WEEKDAY(C461,2)=2,"Di",IF(WEEKDAY(C461,2)=3,"Mi",IF(WEEKDAY(C461,2)=4,"Do.",IF(WEEKDAY(C461,2)=5,"Fr.",IF(WEEKDAY(C461,2)=6,"Sa.","So"))))))</f>
        <v/>
      </c>
      <c r="C461" s="4">
        <f>C460+1</f>
        <v/>
      </c>
      <c r="D461" s="45" t="n"/>
      <c r="E461" s="96" t="n"/>
      <c r="F461" s="2" t="inlineStr">
        <is>
          <t>h</t>
        </is>
      </c>
      <c r="G461" s="96" t="n"/>
      <c r="H461" s="21" t="n"/>
      <c r="I461" s="89" t="n"/>
      <c r="J461" s="89" t="n"/>
      <c r="K461" s="89" t="n"/>
      <c r="L461" s="89" t="n"/>
    </row>
    <row r="462">
      <c r="A462" s="9">
        <f>A461+1</f>
        <v/>
      </c>
      <c r="B462" s="2">
        <f>IF(WEEKDAY(C462,2)=1,"Mo",IF(WEEKDAY(C462,2)=2,"Di",IF(WEEKDAY(C462,2)=3,"Mi",IF(WEEKDAY(C462,2)=4,"Do.",IF(WEEKDAY(C462,2)=5,"Fr.",IF(WEEKDAY(C462,2)=6,"Sa.","So"))))))</f>
        <v/>
      </c>
      <c r="C462" s="4">
        <f>C461+1</f>
        <v/>
      </c>
      <c r="D462" s="45" t="n"/>
      <c r="E462" s="96" t="n"/>
      <c r="F462" s="2" t="inlineStr">
        <is>
          <t>h</t>
        </is>
      </c>
      <c r="G462" s="96" t="n"/>
      <c r="H462" s="21" t="n"/>
      <c r="I462" s="89" t="n"/>
      <c r="J462" s="89" t="n"/>
      <c r="K462" s="89" t="n"/>
      <c r="L462" s="89" t="n"/>
    </row>
    <row r="463">
      <c r="A463" s="9">
        <f>A462+1</f>
        <v/>
      </c>
      <c r="B463" s="2">
        <f>IF(WEEKDAY(C463,2)=1,"Mo",IF(WEEKDAY(C463,2)=2,"Di",IF(WEEKDAY(C463,2)=3,"Mi",IF(WEEKDAY(C463,2)=4,"Do.",IF(WEEKDAY(C463,2)=5,"Fr.",IF(WEEKDAY(C463,2)=6,"Sa.","So"))))))</f>
        <v/>
      </c>
      <c r="C463" s="4">
        <f>C462+1</f>
        <v/>
      </c>
      <c r="D463" s="45" t="n"/>
      <c r="E463" s="96" t="n"/>
      <c r="F463" s="2" t="inlineStr">
        <is>
          <t>h</t>
        </is>
      </c>
      <c r="G463" s="96" t="n"/>
      <c r="H463" s="21" t="n"/>
      <c r="I463" s="89" t="n"/>
      <c r="J463" s="89" t="n"/>
      <c r="K463" s="89" t="n"/>
      <c r="L463" s="89" t="n"/>
    </row>
    <row r="464">
      <c r="A464" s="9">
        <f>A463+1</f>
        <v/>
      </c>
      <c r="B464" s="2">
        <f>IF(WEEKDAY(C464,2)=1,"Mo",IF(WEEKDAY(C464,2)=2,"Di",IF(WEEKDAY(C464,2)=3,"Mi",IF(WEEKDAY(C464,2)=4,"Do.",IF(WEEKDAY(C464,2)=5,"Fr.",IF(WEEKDAY(C464,2)=6,"Sa.","So"))))))</f>
        <v/>
      </c>
      <c r="C464" s="4">
        <f>C463+1</f>
        <v/>
      </c>
      <c r="D464" s="45" t="n"/>
      <c r="E464" s="96" t="n"/>
      <c r="F464" s="2" t="inlineStr">
        <is>
          <t>h</t>
        </is>
      </c>
      <c r="G464" s="96" t="n"/>
      <c r="H464" s="21" t="n"/>
      <c r="I464" s="89" t="n"/>
      <c r="J464" s="89" t="n"/>
      <c r="K464" s="89" t="n"/>
      <c r="L464" s="89" t="n"/>
    </row>
    <row r="465">
      <c r="A465" s="9">
        <f>A464+1</f>
        <v/>
      </c>
      <c r="B465" s="2">
        <f>IF(WEEKDAY(C465,2)=1,"Mo",IF(WEEKDAY(C465,2)=2,"Di",IF(WEEKDAY(C465,2)=3,"Mi",IF(WEEKDAY(C465,2)=4,"Do.",IF(WEEKDAY(C465,2)=5,"Fr.",IF(WEEKDAY(C465,2)=6,"Sa.","So"))))))</f>
        <v/>
      </c>
      <c r="C465" s="4">
        <f>C464+1</f>
        <v/>
      </c>
      <c r="D465" s="45" t="n"/>
      <c r="E465" s="96" t="n"/>
      <c r="F465" s="2" t="inlineStr">
        <is>
          <t>h</t>
        </is>
      </c>
      <c r="G465" s="96" t="n"/>
      <c r="H465" s="21" t="n"/>
      <c r="I465" s="89" t="n"/>
      <c r="J465" s="89" t="n"/>
      <c r="K465" s="89" t="n"/>
      <c r="L465" s="89" t="n"/>
    </row>
    <row r="466">
      <c r="A466" s="9">
        <f>A465+1</f>
        <v/>
      </c>
      <c r="B466" s="2">
        <f>IF(WEEKDAY(C466,2)=1,"Mo",IF(WEEKDAY(C466,2)=2,"Di",IF(WEEKDAY(C466,2)=3,"Mi",IF(WEEKDAY(C466,2)=4,"Do.",IF(WEEKDAY(C466,2)=5,"Fr.",IF(WEEKDAY(C466,2)=6,"Sa.","So"))))))</f>
        <v/>
      </c>
      <c r="C466" s="4">
        <f>C465+1</f>
        <v/>
      </c>
      <c r="D466" s="45" t="n"/>
      <c r="E466" s="96" t="n"/>
      <c r="F466" s="2" t="inlineStr">
        <is>
          <t>h</t>
        </is>
      </c>
      <c r="G466" s="96" t="n"/>
      <c r="H466" s="21" t="n"/>
      <c r="I466" s="89" t="n"/>
      <c r="J466" s="89" t="n"/>
      <c r="K466" s="89" t="n"/>
      <c r="L466" s="89" t="n"/>
    </row>
    <row r="467">
      <c r="A467" s="9">
        <f>A466+1</f>
        <v/>
      </c>
      <c r="B467" s="2">
        <f>IF(WEEKDAY(C467,2)=1,"Mo",IF(WEEKDAY(C467,2)=2,"Di",IF(WEEKDAY(C467,2)=3,"Mi",IF(WEEKDAY(C467,2)=4,"Do.",IF(WEEKDAY(C467,2)=5,"Fr.",IF(WEEKDAY(C467,2)=6,"Sa.","So"))))))</f>
        <v/>
      </c>
      <c r="C467" s="4">
        <f>C466+1</f>
        <v/>
      </c>
      <c r="D467" s="45" t="n"/>
      <c r="E467" s="96" t="n"/>
      <c r="F467" s="2" t="inlineStr">
        <is>
          <t>h</t>
        </is>
      </c>
      <c r="G467" s="96" t="n"/>
      <c r="H467" s="21" t="n"/>
      <c r="I467" s="89" t="n"/>
      <c r="J467" s="89" t="n"/>
      <c r="K467" s="89" t="n"/>
      <c r="L467" s="89" t="n"/>
    </row>
    <row r="468">
      <c r="A468" s="9">
        <f>A467+1</f>
        <v/>
      </c>
      <c r="B468" s="2">
        <f>IF(WEEKDAY(C468,2)=1,"Mo",IF(WEEKDAY(C468,2)=2,"Di",IF(WEEKDAY(C468,2)=3,"Mi",IF(WEEKDAY(C468,2)=4,"Do.",IF(WEEKDAY(C468,2)=5,"Fr.",IF(WEEKDAY(C468,2)=6,"Sa.","So"))))))</f>
        <v/>
      </c>
      <c r="C468" s="4">
        <f>C467+1</f>
        <v/>
      </c>
      <c r="D468" s="45" t="n"/>
      <c r="E468" s="96" t="n"/>
      <c r="F468" s="2" t="inlineStr">
        <is>
          <t>h</t>
        </is>
      </c>
      <c r="G468" s="96" t="n"/>
      <c r="H468" s="21" t="n"/>
      <c r="I468" s="89" t="n"/>
      <c r="J468" s="89" t="n"/>
      <c r="K468" s="89" t="n"/>
      <c r="L468" s="89" t="n"/>
    </row>
    <row r="469">
      <c r="A469" s="9">
        <f>A468+1</f>
        <v/>
      </c>
      <c r="B469" s="2">
        <f>IF(WEEKDAY(C469,2)=1,"Mo",IF(WEEKDAY(C469,2)=2,"Di",IF(WEEKDAY(C469,2)=3,"Mi",IF(WEEKDAY(C469,2)=4,"Do.",IF(WEEKDAY(C469,2)=5,"Fr.",IF(WEEKDAY(C469,2)=6,"Sa.","So"))))))</f>
        <v/>
      </c>
      <c r="C469" s="4">
        <f>C468+1</f>
        <v/>
      </c>
      <c r="D469" s="45" t="n"/>
      <c r="E469" s="96" t="n"/>
      <c r="F469" s="2" t="inlineStr">
        <is>
          <t>h</t>
        </is>
      </c>
      <c r="G469" s="96" t="n"/>
      <c r="H469" s="21" t="n"/>
      <c r="I469" s="89" t="n"/>
      <c r="J469" s="89" t="n"/>
      <c r="K469" s="89" t="n"/>
      <c r="L469" s="89" t="n"/>
    </row>
    <row r="470">
      <c r="A470" s="9">
        <f>A469+1</f>
        <v/>
      </c>
      <c r="B470" s="2">
        <f>IF(WEEKDAY(C470,2)=1,"Mo",IF(WEEKDAY(C470,2)=2,"Di",IF(WEEKDAY(C470,2)=3,"Mi",IF(WEEKDAY(C470,2)=4,"Do.",IF(WEEKDAY(C470,2)=5,"Fr.",IF(WEEKDAY(C470,2)=6,"Sa.","So"))))))</f>
        <v/>
      </c>
      <c r="C470" s="4">
        <f>C469+1</f>
        <v/>
      </c>
      <c r="D470" s="45" t="n"/>
      <c r="E470" s="96" t="n"/>
      <c r="F470" s="2" t="inlineStr">
        <is>
          <t>h</t>
        </is>
      </c>
      <c r="G470" s="96" t="n"/>
      <c r="H470" s="21" t="n"/>
      <c r="I470" s="89" t="n"/>
      <c r="J470" s="89" t="n"/>
      <c r="K470" s="89" t="n"/>
      <c r="L470" s="89" t="n"/>
    </row>
    <row r="471">
      <c r="A471" s="9">
        <f>A470+1</f>
        <v/>
      </c>
      <c r="B471" s="2">
        <f>IF(WEEKDAY(C471,2)=1,"Mo",IF(WEEKDAY(C471,2)=2,"Di",IF(WEEKDAY(C471,2)=3,"Mi",IF(WEEKDAY(C471,2)=4,"Do.",IF(WEEKDAY(C471,2)=5,"Fr.",IF(WEEKDAY(C471,2)=6,"Sa.","So"))))))</f>
        <v/>
      </c>
      <c r="C471" s="4">
        <f>C470+1</f>
        <v/>
      </c>
      <c r="D471" s="45" t="n"/>
      <c r="E471" s="96" t="n"/>
      <c r="F471" s="2" t="inlineStr">
        <is>
          <t>h</t>
        </is>
      </c>
      <c r="G471" s="96" t="n"/>
      <c r="H471" s="21" t="n"/>
      <c r="I471" s="89" t="n"/>
      <c r="J471" s="89" t="n"/>
      <c r="K471" s="89" t="n"/>
      <c r="L471" s="89" t="n"/>
    </row>
    <row r="472">
      <c r="A472" s="9">
        <f>A471+1</f>
        <v/>
      </c>
      <c r="B472" s="2">
        <f>IF(WEEKDAY(C472,2)=1,"Mo",IF(WEEKDAY(C472,2)=2,"Di",IF(WEEKDAY(C472,2)=3,"Mi",IF(WEEKDAY(C472,2)=4,"Do.",IF(WEEKDAY(C472,2)=5,"Fr.",IF(WEEKDAY(C472,2)=6,"Sa.","So"))))))</f>
        <v/>
      </c>
      <c r="C472" s="4">
        <f>C471+1</f>
        <v/>
      </c>
      <c r="D472" s="45" t="n"/>
      <c r="E472" s="96" t="n"/>
      <c r="F472" s="2" t="inlineStr">
        <is>
          <t>h</t>
        </is>
      </c>
      <c r="G472" s="96" t="n"/>
      <c r="H472" s="21" t="n"/>
      <c r="I472" s="89" t="n"/>
      <c r="J472" s="89" t="n"/>
      <c r="K472" s="89" t="n"/>
      <c r="L472" s="89" t="n"/>
    </row>
    <row r="473" ht="14.25" customHeight="1" thickBot="1">
      <c r="A473" s="10">
        <f>A472+1</f>
        <v/>
      </c>
      <c r="B473" s="11">
        <f>IF(WEEKDAY(C473,2)=1,"Mo",IF(WEEKDAY(C473,2)=2,"Di",IF(WEEKDAY(C473,2)=3,"Mi",IF(WEEKDAY(C473,2)=4,"Do.",IF(WEEKDAY(C473,2)=5,"Fr.",IF(WEEKDAY(C473,2)=6,"Sa.","So"))))))</f>
        <v/>
      </c>
      <c r="C473" s="12">
        <f>C472+1</f>
        <v/>
      </c>
      <c r="D473" s="46" t="n"/>
      <c r="E473" s="13" t="n"/>
      <c r="F473" s="11" t="inlineStr">
        <is>
          <t>h</t>
        </is>
      </c>
      <c r="G473" s="13" t="n"/>
      <c r="H473" s="22" t="n"/>
      <c r="I473" s="89" t="n"/>
      <c r="J473" s="89" t="n"/>
      <c r="K473" s="89" t="n"/>
      <c r="L473" s="89" t="n"/>
      <c r="N473" s="49" t="n"/>
      <c r="O473" s="50" t="inlineStr">
        <is>
          <t xml:space="preserve">Hier sollte der letzte Seitenumbruch (Seite 6 Ende) zu sehen sein.  (Reiter "Ansicht &gt; Umbruchsvorschau) </t>
        </is>
      </c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N474" s="48" t="n"/>
      <c r="O474" s="1" t="inlineStr">
        <is>
          <t>Sie könne mit der Maus den Umbruch verschieben.</t>
        </is>
      </c>
    </row>
    <row r="475">
      <c r="A475" s="106">
        <f>Student_Name</f>
        <v/>
      </c>
      <c r="B475" s="116" t="n"/>
      <c r="C475" s="116" t="n"/>
      <c r="D475" s="116" t="n"/>
      <c r="E475" s="116" t="n"/>
      <c r="F475" s="116" t="n"/>
      <c r="G475" s="100" t="n"/>
      <c r="H475" s="106">
        <f>Ausbildungsbetrieb_Unternehmen</f>
        <v/>
      </c>
      <c r="I475" s="100" t="n"/>
      <c r="J475" s="100" t="n"/>
      <c r="K475" s="100" t="n"/>
      <c r="L475" s="100" t="n"/>
    </row>
    <row r="476">
      <c r="A476" s="28" t="inlineStr">
        <is>
          <t>Name</t>
        </is>
      </c>
      <c r="B476" s="28" t="n"/>
      <c r="C476" s="28" t="n"/>
      <c r="D476" s="28" t="n"/>
      <c r="E476" s="28" t="n"/>
      <c r="F476" s="28" t="n"/>
      <c r="G476" s="28" t="n"/>
      <c r="H476" s="28" t="inlineStr">
        <is>
          <t>Ausbildungsbetrieb</t>
        </is>
      </c>
      <c r="I476" s="28" t="n"/>
      <c r="J476" s="28" t="n"/>
      <c r="K476" s="28" t="n"/>
      <c r="L476" s="28" t="n"/>
    </row>
    <row r="477">
      <c r="A477" s="100" t="n"/>
      <c r="B477" s="100" t="n"/>
      <c r="C477" s="100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</row>
    <row r="478">
      <c r="A478" s="106">
        <f>Student_Vorname</f>
        <v/>
      </c>
      <c r="B478" s="116" t="n"/>
      <c r="C478" s="116" t="n"/>
      <c r="D478" s="116" t="n"/>
      <c r="E478" s="116" t="n"/>
      <c r="F478" s="116" t="n"/>
      <c r="G478" s="100" t="n"/>
      <c r="H478" s="106">
        <f>CONCATENATE(Ausbildungsbetrieb_Vorname, " ", Ausbildungsbetrieb_Name)</f>
        <v/>
      </c>
      <c r="I478" s="100" t="n"/>
      <c r="J478" s="100" t="n"/>
      <c r="K478" s="100" t="n"/>
      <c r="L478" s="100" t="n"/>
    </row>
    <row r="479">
      <c r="A479" s="28" t="inlineStr">
        <is>
          <t>Vorname</t>
        </is>
      </c>
      <c r="B479" s="28" t="n"/>
      <c r="C479" s="28" t="n"/>
      <c r="D479" s="28" t="n"/>
      <c r="E479" s="28" t="n"/>
      <c r="F479" s="28" t="n"/>
      <c r="G479" s="28" t="n"/>
      <c r="H479" s="28" t="inlineStr">
        <is>
          <t>Ansprechpartner im Betrieb</t>
        </is>
      </c>
      <c r="I479" s="28" t="n"/>
      <c r="J479" s="28" t="n"/>
      <c r="K479" s="28" t="n"/>
      <c r="L479" s="28" t="n"/>
    </row>
    <row r="480">
      <c r="A480" s="100" t="n"/>
      <c r="B480" s="100" t="n"/>
      <c r="C480" s="100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</row>
    <row r="481">
      <c r="A481" s="106">
        <f>Student_Studiengruppe</f>
        <v/>
      </c>
      <c r="B481" s="116" t="n"/>
      <c r="C481" s="116" t="n"/>
      <c r="D481" s="116" t="n"/>
      <c r="E481" s="116" t="n"/>
      <c r="F481" s="116" t="n"/>
      <c r="G481" s="100" t="n"/>
      <c r="H481" s="106">
        <f>Ausbildungsbetrieb_Email</f>
        <v/>
      </c>
      <c r="I481" s="100" t="n"/>
      <c r="J481" s="100" t="n"/>
      <c r="K481" s="100" t="n"/>
      <c r="L481" s="100" t="n"/>
    </row>
    <row r="482">
      <c r="A482" s="28" t="inlineStr">
        <is>
          <t>Studiengruppe</t>
        </is>
      </c>
      <c r="B482" s="28" t="n"/>
      <c r="C482" s="28" t="n"/>
      <c r="D482" s="28" t="n"/>
      <c r="E482" s="28" t="n"/>
      <c r="F482" s="28" t="n"/>
      <c r="G482" s="28" t="n"/>
      <c r="H482" s="28" t="inlineStr">
        <is>
          <t>Email Ansprechpartner</t>
        </is>
      </c>
      <c r="I482" s="28" t="n"/>
      <c r="J482" s="28" t="n"/>
      <c r="K482" s="28" t="n"/>
      <c r="L482" s="28" t="n"/>
    </row>
    <row r="483">
      <c r="A483" s="100" t="n"/>
      <c r="B483" s="100" t="n"/>
      <c r="C483" s="100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</row>
    <row r="484">
      <c r="A484" s="106">
        <f>Student_Matrikelnummer</f>
        <v/>
      </c>
      <c r="B484" s="116" t="n"/>
      <c r="C484" s="116" t="n"/>
      <c r="D484" s="116" t="n"/>
      <c r="E484" s="116" t="n"/>
      <c r="F484" s="116" t="n"/>
      <c r="G484" s="100" t="n"/>
      <c r="H484" s="106">
        <f>Ausbildungsbetrieb_Telefon</f>
        <v/>
      </c>
      <c r="I484" s="100" t="n"/>
      <c r="J484" s="100" t="n"/>
      <c r="K484" s="100" t="n"/>
      <c r="L484" s="100" t="n"/>
    </row>
    <row r="485">
      <c r="A485" s="28" t="inlineStr">
        <is>
          <t>Matrikelnummer</t>
        </is>
      </c>
      <c r="B485" s="28" t="n"/>
      <c r="C485" s="28" t="n"/>
      <c r="D485" s="28" t="n"/>
      <c r="E485" s="28" t="n"/>
      <c r="F485" s="28" t="n"/>
      <c r="G485" s="28" t="n"/>
      <c r="H485" s="28" t="inlineStr">
        <is>
          <t>Telefon Ansprechpartner</t>
        </is>
      </c>
      <c r="I485" s="28" t="n"/>
      <c r="J485" s="28" t="n"/>
      <c r="K485" s="28" t="n"/>
      <c r="L485" s="28" t="n"/>
    </row>
    <row r="486" ht="14.25" customHeight="1" thickBot="1">
      <c r="A486" s="100" t="n"/>
      <c r="B486" s="100" t="n"/>
      <c r="C486" s="100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</row>
    <row r="487">
      <c r="A487" s="14" t="n"/>
      <c r="B487" s="15" t="n"/>
      <c r="C487" s="15" t="n"/>
      <c r="D487" s="15" t="n"/>
      <c r="E487" s="15" t="inlineStr">
        <is>
          <t>Typ</t>
        </is>
      </c>
      <c r="F487" s="15" t="n"/>
      <c r="G487" s="15" t="n"/>
      <c r="H487" s="16" t="inlineStr">
        <is>
          <t>Vorlesung besucht?</t>
        </is>
      </c>
      <c r="I487" s="85" t="n"/>
      <c r="J487" s="85" t="n"/>
      <c r="K487" s="85" t="n"/>
      <c r="L487" s="85" t="n"/>
    </row>
    <row r="488" ht="14.25" customHeight="1" thickBot="1">
      <c r="A488" s="107" t="inlineStr">
        <is>
          <t>Tag</t>
        </is>
      </c>
      <c r="B488" s="117" t="n"/>
      <c r="C488" s="17" t="inlineStr">
        <is>
          <t>Datum</t>
        </is>
      </c>
      <c r="D488" s="17" t="n"/>
      <c r="E488" s="109" t="inlineStr">
        <is>
          <t>Anwesen-heitszeit im Betrieb</t>
        </is>
      </c>
      <c r="F488" s="117" t="n"/>
      <c r="G488" s="109" t="n"/>
      <c r="H488" s="19" t="inlineStr">
        <is>
          <t>genaue Angaben zu den Tätigkeiten</t>
        </is>
      </c>
      <c r="I488" s="85" t="n"/>
      <c r="J488" s="85" t="n"/>
      <c r="K488" s="85" t="n"/>
      <c r="L488" s="85" t="n"/>
    </row>
    <row r="489">
      <c r="A489" s="5">
        <f>A473+1</f>
        <v/>
      </c>
      <c r="B489" s="6">
        <f>IF(WEEKDAY(C489,2)=1,"Mo",IF(WEEKDAY(C489,2)=2,"Di",IF(WEEKDAY(C489,2)=3,"Mi",IF(WEEKDAY(C489,2)=4,"Do.",IF(WEEKDAY(C489,2)=5,"Fr.",IF(WEEKDAY(C489,2)=6,"Sa.","So"))))))</f>
        <v/>
      </c>
      <c r="C489" s="7">
        <f>C473+1</f>
        <v/>
      </c>
      <c r="D489" s="44" t="n"/>
      <c r="E489" s="8" t="n"/>
      <c r="F489" s="6" t="inlineStr">
        <is>
          <t>h</t>
        </is>
      </c>
      <c r="G489" s="8" t="n"/>
      <c r="H489" s="20" t="n"/>
      <c r="I489" s="89" t="n"/>
      <c r="J489" s="89" t="n"/>
      <c r="K489" s="89" t="n"/>
      <c r="L489" s="89" t="n"/>
    </row>
    <row r="490">
      <c r="A490" s="9">
        <f>A489+1</f>
        <v/>
      </c>
      <c r="B490" s="2">
        <f>IF(WEEKDAY(C490,2)=1,"Mo",IF(WEEKDAY(C490,2)=2,"Di",IF(WEEKDAY(C490,2)=3,"Mi",IF(WEEKDAY(C490,2)=4,"Do.",IF(WEEKDAY(C490,2)=5,"Fr.",IF(WEEKDAY(C490,2)=6,"Sa.","So"))))))</f>
        <v/>
      </c>
      <c r="C490" s="4">
        <f>C489+1</f>
        <v/>
      </c>
      <c r="D490" s="45" t="n"/>
      <c r="E490" s="96" t="n"/>
      <c r="F490" s="2" t="inlineStr">
        <is>
          <t>h</t>
        </is>
      </c>
      <c r="G490" s="96" t="n"/>
      <c r="H490" s="21" t="n"/>
      <c r="I490" s="89" t="n"/>
      <c r="J490" s="89" t="n"/>
      <c r="K490" s="89" t="n"/>
      <c r="L490" s="89" t="n"/>
    </row>
    <row r="491">
      <c r="A491" s="9">
        <f>A490+1</f>
        <v/>
      </c>
      <c r="B491" s="2">
        <f>IF(WEEKDAY(C491,2)=1,"Mo",IF(WEEKDAY(C491,2)=2,"Di",IF(WEEKDAY(C491,2)=3,"Mi",IF(WEEKDAY(C491,2)=4,"Do.",IF(WEEKDAY(C491,2)=5,"Fr.",IF(WEEKDAY(C491,2)=6,"Sa.","So"))))))</f>
        <v/>
      </c>
      <c r="C491" s="4">
        <f>C490+1</f>
        <v/>
      </c>
      <c r="D491" s="45" t="n"/>
      <c r="E491" s="96" t="n"/>
      <c r="F491" s="2" t="inlineStr">
        <is>
          <t>h</t>
        </is>
      </c>
      <c r="G491" s="96" t="n"/>
      <c r="H491" s="21" t="n"/>
      <c r="I491" s="89" t="n"/>
      <c r="J491" s="89" t="n"/>
      <c r="K491" s="89" t="n"/>
      <c r="L491" s="89" t="n"/>
    </row>
    <row r="492">
      <c r="A492" s="9">
        <f>A491+1</f>
        <v/>
      </c>
      <c r="B492" s="2">
        <f>IF(WEEKDAY(C492,2)=1,"Mo",IF(WEEKDAY(C492,2)=2,"Di",IF(WEEKDAY(C492,2)=3,"Mi",IF(WEEKDAY(C492,2)=4,"Do.",IF(WEEKDAY(C492,2)=5,"Fr.",IF(WEEKDAY(C492,2)=6,"Sa.","So"))))))</f>
        <v/>
      </c>
      <c r="C492" s="4">
        <f>C491+1</f>
        <v/>
      </c>
      <c r="D492" s="45" t="n"/>
      <c r="E492" s="96" t="n"/>
      <c r="F492" s="2" t="inlineStr">
        <is>
          <t>h</t>
        </is>
      </c>
      <c r="G492" s="96" t="n"/>
      <c r="H492" s="21" t="n"/>
      <c r="I492" s="89" t="n"/>
      <c r="J492" s="89" t="n"/>
      <c r="K492" s="89" t="n"/>
      <c r="L492" s="89" t="n"/>
    </row>
    <row r="493">
      <c r="A493" s="9">
        <f>A492+1</f>
        <v/>
      </c>
      <c r="B493" s="2">
        <f>IF(WEEKDAY(C493,2)=1,"Mo",IF(WEEKDAY(C493,2)=2,"Di",IF(WEEKDAY(C493,2)=3,"Mi",IF(WEEKDAY(C493,2)=4,"Do.",IF(WEEKDAY(C493,2)=5,"Fr.",IF(WEEKDAY(C493,2)=6,"Sa.","So"))))))</f>
        <v/>
      </c>
      <c r="C493" s="4">
        <f>C492+1</f>
        <v/>
      </c>
      <c r="D493" s="45" t="n"/>
      <c r="E493" s="96" t="n"/>
      <c r="F493" s="2" t="inlineStr">
        <is>
          <t>h</t>
        </is>
      </c>
      <c r="G493" s="96" t="n"/>
      <c r="H493" s="21" t="n"/>
      <c r="I493" s="89" t="n"/>
      <c r="J493" s="89" t="n"/>
      <c r="K493" s="89" t="n"/>
      <c r="L493" s="89" t="n"/>
    </row>
    <row r="494">
      <c r="A494" s="9">
        <f>A493+1</f>
        <v/>
      </c>
      <c r="B494" s="2">
        <f>IF(WEEKDAY(C494,2)=1,"Mo",IF(WEEKDAY(C494,2)=2,"Di",IF(WEEKDAY(C494,2)=3,"Mi",IF(WEEKDAY(C494,2)=4,"Do.",IF(WEEKDAY(C494,2)=5,"Fr.",IF(WEEKDAY(C494,2)=6,"Sa.","So"))))))</f>
        <v/>
      </c>
      <c r="C494" s="4">
        <f>C493+1</f>
        <v/>
      </c>
      <c r="D494" s="45" t="n"/>
      <c r="E494" s="96" t="n"/>
      <c r="F494" s="2" t="inlineStr">
        <is>
          <t>h</t>
        </is>
      </c>
      <c r="G494" s="96" t="n"/>
      <c r="H494" s="21" t="n"/>
      <c r="I494" s="89" t="n"/>
      <c r="J494" s="89" t="n"/>
      <c r="K494" s="89" t="n"/>
      <c r="L494" s="89" t="n"/>
    </row>
    <row r="495">
      <c r="A495" s="9">
        <f>A494+1</f>
        <v/>
      </c>
      <c r="B495" s="2">
        <f>IF(WEEKDAY(C495,2)=1,"Mo",IF(WEEKDAY(C495,2)=2,"Di",IF(WEEKDAY(C495,2)=3,"Mi",IF(WEEKDAY(C495,2)=4,"Do.",IF(WEEKDAY(C495,2)=5,"Fr.",IF(WEEKDAY(C495,2)=6,"Sa.","So"))))))</f>
        <v/>
      </c>
      <c r="C495" s="4">
        <f>C494+1</f>
        <v/>
      </c>
      <c r="D495" s="45" t="n"/>
      <c r="E495" s="96" t="n"/>
      <c r="F495" s="2" t="inlineStr">
        <is>
          <t>h</t>
        </is>
      </c>
      <c r="G495" s="96" t="n"/>
      <c r="H495" s="21" t="n"/>
      <c r="I495" s="89" t="n"/>
      <c r="J495" s="89" t="n"/>
      <c r="K495" s="89" t="n"/>
      <c r="L495" s="89" t="n"/>
    </row>
    <row r="496">
      <c r="A496" s="9">
        <f>A495+1</f>
        <v/>
      </c>
      <c r="B496" s="2">
        <f>IF(WEEKDAY(C496,2)=1,"Mo",IF(WEEKDAY(C496,2)=2,"Di",IF(WEEKDAY(C496,2)=3,"Mi",IF(WEEKDAY(C496,2)=4,"Do.",IF(WEEKDAY(C496,2)=5,"Fr.",IF(WEEKDAY(C496,2)=6,"Sa.","So"))))))</f>
        <v/>
      </c>
      <c r="C496" s="4">
        <f>C495+1</f>
        <v/>
      </c>
      <c r="D496" s="45" t="n"/>
      <c r="E496" s="96" t="n"/>
      <c r="F496" s="2" t="inlineStr">
        <is>
          <t>h</t>
        </is>
      </c>
      <c r="G496" s="96" t="n"/>
      <c r="H496" s="21" t="n"/>
      <c r="I496" s="89" t="n"/>
      <c r="J496" s="89" t="n"/>
      <c r="K496" s="89" t="n"/>
      <c r="L496" s="89" t="n"/>
    </row>
    <row r="497">
      <c r="A497" s="9">
        <f>A496+1</f>
        <v/>
      </c>
      <c r="B497" s="2">
        <f>IF(WEEKDAY(C497,2)=1,"Mo",IF(WEEKDAY(C497,2)=2,"Di",IF(WEEKDAY(C497,2)=3,"Mi",IF(WEEKDAY(C497,2)=4,"Do.",IF(WEEKDAY(C497,2)=5,"Fr.",IF(WEEKDAY(C497,2)=6,"Sa.","So"))))))</f>
        <v/>
      </c>
      <c r="C497" s="4">
        <f>C496+1</f>
        <v/>
      </c>
      <c r="D497" s="45" t="n"/>
      <c r="E497" s="96" t="n"/>
      <c r="F497" s="2" t="inlineStr">
        <is>
          <t>h</t>
        </is>
      </c>
      <c r="G497" s="96" t="n"/>
      <c r="H497" s="21" t="n"/>
      <c r="I497" s="89" t="n"/>
      <c r="J497" s="89" t="n"/>
      <c r="K497" s="89" t="n"/>
      <c r="L497" s="89" t="n"/>
    </row>
    <row r="498">
      <c r="A498" s="9">
        <f>A497+1</f>
        <v/>
      </c>
      <c r="B498" s="2">
        <f>IF(WEEKDAY(C498,2)=1,"Mo",IF(WEEKDAY(C498,2)=2,"Di",IF(WEEKDAY(C498,2)=3,"Mi",IF(WEEKDAY(C498,2)=4,"Do.",IF(WEEKDAY(C498,2)=5,"Fr.",IF(WEEKDAY(C498,2)=6,"Sa.","So"))))))</f>
        <v/>
      </c>
      <c r="C498" s="4">
        <f>C497+1</f>
        <v/>
      </c>
      <c r="D498" s="45" t="n"/>
      <c r="E498" s="96" t="n"/>
      <c r="F498" s="2" t="inlineStr">
        <is>
          <t>h</t>
        </is>
      </c>
      <c r="G498" s="96" t="n"/>
      <c r="H498" s="21" t="n"/>
      <c r="I498" s="89" t="n"/>
      <c r="J498" s="89" t="n"/>
      <c r="K498" s="89" t="n"/>
      <c r="L498" s="89" t="n"/>
    </row>
    <row r="499">
      <c r="A499" s="9">
        <f>A498+1</f>
        <v/>
      </c>
      <c r="B499" s="2">
        <f>IF(WEEKDAY(C499,2)=1,"Mo",IF(WEEKDAY(C499,2)=2,"Di",IF(WEEKDAY(C499,2)=3,"Mi",IF(WEEKDAY(C499,2)=4,"Do.",IF(WEEKDAY(C499,2)=5,"Fr.",IF(WEEKDAY(C499,2)=6,"Sa.","So"))))))</f>
        <v/>
      </c>
      <c r="C499" s="4">
        <f>C498+1</f>
        <v/>
      </c>
      <c r="D499" s="45" t="n"/>
      <c r="E499" s="96" t="n"/>
      <c r="F499" s="2" t="inlineStr">
        <is>
          <t>h</t>
        </is>
      </c>
      <c r="G499" s="96" t="n"/>
      <c r="H499" s="21" t="n"/>
      <c r="I499" s="89" t="n"/>
      <c r="J499" s="89" t="n"/>
      <c r="K499" s="89" t="n"/>
      <c r="L499" s="89" t="n"/>
    </row>
    <row r="500">
      <c r="A500" s="9">
        <f>A499+1</f>
        <v/>
      </c>
      <c r="B500" s="2">
        <f>IF(WEEKDAY(C500,2)=1,"Mo",IF(WEEKDAY(C500,2)=2,"Di",IF(WEEKDAY(C500,2)=3,"Mi",IF(WEEKDAY(C500,2)=4,"Do.",IF(WEEKDAY(C500,2)=5,"Fr.",IF(WEEKDAY(C500,2)=6,"Sa.","So"))))))</f>
        <v/>
      </c>
      <c r="C500" s="4">
        <f>C499+1</f>
        <v/>
      </c>
      <c r="D500" s="45" t="n"/>
      <c r="E500" s="96" t="n"/>
      <c r="F500" s="2" t="inlineStr">
        <is>
          <t>h</t>
        </is>
      </c>
      <c r="G500" s="96" t="n"/>
      <c r="H500" s="21" t="n"/>
      <c r="I500" s="89" t="n"/>
      <c r="J500" s="89" t="n"/>
      <c r="K500" s="89" t="n"/>
      <c r="L500" s="89" t="n"/>
    </row>
    <row r="501">
      <c r="A501" s="9">
        <f>A500+1</f>
        <v/>
      </c>
      <c r="B501" s="2">
        <f>IF(WEEKDAY(C501,2)=1,"Mo",IF(WEEKDAY(C501,2)=2,"Di",IF(WEEKDAY(C501,2)=3,"Mi",IF(WEEKDAY(C501,2)=4,"Do.",IF(WEEKDAY(C501,2)=5,"Fr.",IF(WEEKDAY(C501,2)=6,"Sa.","So"))))))</f>
        <v/>
      </c>
      <c r="C501" s="4">
        <f>C500+1</f>
        <v/>
      </c>
      <c r="D501" s="45" t="n"/>
      <c r="E501" s="96" t="n"/>
      <c r="F501" s="2" t="inlineStr">
        <is>
          <t>h</t>
        </is>
      </c>
      <c r="G501" s="96" t="n"/>
      <c r="H501" s="21" t="n"/>
      <c r="I501" s="89" t="n"/>
      <c r="J501" s="89" t="n"/>
      <c r="K501" s="89" t="n"/>
      <c r="L501" s="89" t="n"/>
    </row>
    <row r="502">
      <c r="A502" s="9">
        <f>A501+1</f>
        <v/>
      </c>
      <c r="B502" s="2">
        <f>IF(WEEKDAY(C502,2)=1,"Mo",IF(WEEKDAY(C502,2)=2,"Di",IF(WEEKDAY(C502,2)=3,"Mi",IF(WEEKDAY(C502,2)=4,"Do.",IF(WEEKDAY(C502,2)=5,"Fr.",IF(WEEKDAY(C502,2)=6,"Sa.","So"))))))</f>
        <v/>
      </c>
      <c r="C502" s="4">
        <f>C501+1</f>
        <v/>
      </c>
      <c r="D502" s="45" t="n"/>
      <c r="E502" s="96" t="n"/>
      <c r="F502" s="2" t="inlineStr">
        <is>
          <t>h</t>
        </is>
      </c>
      <c r="G502" s="96" t="n"/>
      <c r="H502" s="21" t="n"/>
      <c r="I502" s="89" t="n"/>
      <c r="J502" s="89" t="n"/>
      <c r="K502" s="89" t="n"/>
      <c r="L502" s="89" t="n"/>
    </row>
    <row r="503">
      <c r="A503" s="9">
        <f>A502+1</f>
        <v/>
      </c>
      <c r="B503" s="2">
        <f>IF(WEEKDAY(C503,2)=1,"Mo",IF(WEEKDAY(C503,2)=2,"Di",IF(WEEKDAY(C503,2)=3,"Mi",IF(WEEKDAY(C503,2)=4,"Do.",IF(WEEKDAY(C503,2)=5,"Fr.",IF(WEEKDAY(C503,2)=6,"Sa.","So"))))))</f>
        <v/>
      </c>
      <c r="C503" s="4">
        <f>C502+1</f>
        <v/>
      </c>
      <c r="D503" s="45" t="n"/>
      <c r="E503" s="96" t="n"/>
      <c r="F503" s="2" t="inlineStr">
        <is>
          <t>h</t>
        </is>
      </c>
      <c r="G503" s="96" t="n"/>
      <c r="H503" s="21" t="n"/>
      <c r="I503" s="89" t="n"/>
      <c r="J503" s="89" t="n"/>
      <c r="K503" s="89" t="n"/>
      <c r="L503" s="89" t="n"/>
    </row>
    <row r="504">
      <c r="A504" s="9">
        <f>A503+1</f>
        <v/>
      </c>
      <c r="B504" s="2">
        <f>IF(WEEKDAY(C504,2)=1,"Mo",IF(WEEKDAY(C504,2)=2,"Di",IF(WEEKDAY(C504,2)=3,"Mi",IF(WEEKDAY(C504,2)=4,"Do.",IF(WEEKDAY(C504,2)=5,"Fr.",IF(WEEKDAY(C504,2)=6,"Sa.","So"))))))</f>
        <v/>
      </c>
      <c r="C504" s="4">
        <f>C503+1</f>
        <v/>
      </c>
      <c r="D504" s="45" t="n"/>
      <c r="E504" s="96" t="n"/>
      <c r="F504" s="2" t="inlineStr">
        <is>
          <t>h</t>
        </is>
      </c>
      <c r="G504" s="96" t="n"/>
      <c r="H504" s="21" t="n"/>
      <c r="I504" s="89" t="n"/>
      <c r="J504" s="89" t="n"/>
      <c r="K504" s="89" t="n"/>
      <c r="L504" s="89" t="n"/>
    </row>
    <row r="505">
      <c r="A505" s="9">
        <f>A504+1</f>
        <v/>
      </c>
      <c r="B505" s="2">
        <f>IF(WEEKDAY(C505,2)=1,"Mo",IF(WEEKDAY(C505,2)=2,"Di",IF(WEEKDAY(C505,2)=3,"Mi",IF(WEEKDAY(C505,2)=4,"Do.",IF(WEEKDAY(C505,2)=5,"Fr.",IF(WEEKDAY(C505,2)=6,"Sa.","So"))))))</f>
        <v/>
      </c>
      <c r="C505" s="4">
        <f>C504+1</f>
        <v/>
      </c>
      <c r="D505" s="45" t="n"/>
      <c r="E505" s="96" t="n"/>
      <c r="F505" s="2" t="inlineStr">
        <is>
          <t>h</t>
        </is>
      </c>
      <c r="G505" s="96" t="n"/>
      <c r="H505" s="21" t="n"/>
      <c r="I505" s="89" t="n"/>
      <c r="J505" s="89" t="n"/>
      <c r="K505" s="89" t="n"/>
      <c r="L505" s="89" t="n"/>
    </row>
    <row r="506">
      <c r="A506" s="9">
        <f>A505+1</f>
        <v/>
      </c>
      <c r="B506" s="2">
        <f>IF(WEEKDAY(C506,2)=1,"Mo",IF(WEEKDAY(C506,2)=2,"Di",IF(WEEKDAY(C506,2)=3,"Mi",IF(WEEKDAY(C506,2)=4,"Do.",IF(WEEKDAY(C506,2)=5,"Fr.",IF(WEEKDAY(C506,2)=6,"Sa.","So"))))))</f>
        <v/>
      </c>
      <c r="C506" s="4">
        <f>C505+1</f>
        <v/>
      </c>
      <c r="D506" s="45" t="n"/>
      <c r="E506" s="96" t="n"/>
      <c r="F506" s="2" t="inlineStr">
        <is>
          <t>h</t>
        </is>
      </c>
      <c r="G506" s="96" t="n"/>
      <c r="H506" s="21" t="n"/>
      <c r="I506" s="89" t="n"/>
      <c r="J506" s="89" t="n"/>
      <c r="K506" s="89" t="n"/>
      <c r="L506" s="89" t="n"/>
    </row>
    <row r="507">
      <c r="A507" s="9">
        <f>A506+1</f>
        <v/>
      </c>
      <c r="B507" s="2">
        <f>IF(WEEKDAY(C507,2)=1,"Mo",IF(WEEKDAY(C507,2)=2,"Di",IF(WEEKDAY(C507,2)=3,"Mi",IF(WEEKDAY(C507,2)=4,"Do.",IF(WEEKDAY(C507,2)=5,"Fr.",IF(WEEKDAY(C507,2)=6,"Sa.","So"))))))</f>
        <v/>
      </c>
      <c r="C507" s="4">
        <f>C506+1</f>
        <v/>
      </c>
      <c r="D507" s="45" t="n"/>
      <c r="E507" s="96" t="n"/>
      <c r="F507" s="2" t="inlineStr">
        <is>
          <t>h</t>
        </is>
      </c>
      <c r="G507" s="96" t="n"/>
      <c r="H507" s="21" t="n"/>
      <c r="I507" s="89" t="n"/>
      <c r="J507" s="89" t="n"/>
      <c r="K507" s="89" t="n"/>
      <c r="L507" s="89" t="n"/>
    </row>
    <row r="508">
      <c r="A508" s="9">
        <f>A507+1</f>
        <v/>
      </c>
      <c r="B508" s="2">
        <f>IF(WEEKDAY(C508,2)=1,"Mo",IF(WEEKDAY(C508,2)=2,"Di",IF(WEEKDAY(C508,2)=3,"Mi",IF(WEEKDAY(C508,2)=4,"Do.",IF(WEEKDAY(C508,2)=5,"Fr.",IF(WEEKDAY(C508,2)=6,"Sa.","So"))))))</f>
        <v/>
      </c>
      <c r="C508" s="4">
        <f>C507+1</f>
        <v/>
      </c>
      <c r="D508" s="45" t="n"/>
      <c r="E508" s="96" t="n"/>
      <c r="F508" s="2" t="inlineStr">
        <is>
          <t>h</t>
        </is>
      </c>
      <c r="G508" s="96" t="n"/>
      <c r="H508" s="21" t="n"/>
      <c r="I508" s="89" t="n"/>
      <c r="J508" s="89" t="n"/>
      <c r="K508" s="89" t="n"/>
      <c r="L508" s="89" t="n"/>
    </row>
    <row r="509">
      <c r="A509" s="9">
        <f>A508+1</f>
        <v/>
      </c>
      <c r="B509" s="2">
        <f>IF(WEEKDAY(C509,2)=1,"Mo",IF(WEEKDAY(C509,2)=2,"Di",IF(WEEKDAY(C509,2)=3,"Mi",IF(WEEKDAY(C509,2)=4,"Do.",IF(WEEKDAY(C509,2)=5,"Fr.",IF(WEEKDAY(C509,2)=6,"Sa.","So"))))))</f>
        <v/>
      </c>
      <c r="C509" s="4">
        <f>C508+1</f>
        <v/>
      </c>
      <c r="D509" s="45" t="n"/>
      <c r="E509" s="96" t="n"/>
      <c r="F509" s="2" t="inlineStr">
        <is>
          <t>h</t>
        </is>
      </c>
      <c r="G509" s="96" t="n"/>
      <c r="H509" s="21" t="n"/>
      <c r="I509" s="89" t="n"/>
      <c r="J509" s="89" t="n"/>
      <c r="K509" s="89" t="n"/>
      <c r="L509" s="89" t="n"/>
    </row>
    <row r="510">
      <c r="A510" s="9">
        <f>A509+1</f>
        <v/>
      </c>
      <c r="B510" s="2">
        <f>IF(WEEKDAY(C510,2)=1,"Mo",IF(WEEKDAY(C510,2)=2,"Di",IF(WEEKDAY(C510,2)=3,"Mi",IF(WEEKDAY(C510,2)=4,"Do.",IF(WEEKDAY(C510,2)=5,"Fr.",IF(WEEKDAY(C510,2)=6,"Sa.","So"))))))</f>
        <v/>
      </c>
      <c r="C510" s="4">
        <f>C509+1</f>
        <v/>
      </c>
      <c r="D510" s="45" t="n"/>
      <c r="E510" s="96" t="n"/>
      <c r="F510" s="2" t="inlineStr">
        <is>
          <t>h</t>
        </is>
      </c>
      <c r="G510" s="96" t="n"/>
      <c r="H510" s="21" t="n"/>
      <c r="I510" s="89" t="n"/>
      <c r="J510" s="89" t="n"/>
      <c r="K510" s="89" t="n"/>
      <c r="L510" s="89" t="n"/>
    </row>
    <row r="511">
      <c r="A511" s="9">
        <f>A510+1</f>
        <v/>
      </c>
      <c r="B511" s="2">
        <f>IF(WEEKDAY(C511,2)=1,"Mo",IF(WEEKDAY(C511,2)=2,"Di",IF(WEEKDAY(C511,2)=3,"Mi",IF(WEEKDAY(C511,2)=4,"Do.",IF(WEEKDAY(C511,2)=5,"Fr.",IF(WEEKDAY(C511,2)=6,"Sa.","So"))))))</f>
        <v/>
      </c>
      <c r="C511" s="4">
        <f>C510+1</f>
        <v/>
      </c>
      <c r="D511" s="45" t="n"/>
      <c r="E511" s="96" t="n"/>
      <c r="F511" s="2" t="inlineStr">
        <is>
          <t>h</t>
        </is>
      </c>
      <c r="G511" s="96" t="n"/>
      <c r="H511" s="21" t="n"/>
      <c r="I511" s="89" t="n"/>
      <c r="J511" s="89" t="n"/>
      <c r="K511" s="89" t="n"/>
      <c r="L511" s="89" t="n"/>
    </row>
    <row r="512">
      <c r="A512" s="9">
        <f>A511+1</f>
        <v/>
      </c>
      <c r="B512" s="2">
        <f>IF(WEEKDAY(C512,2)=1,"Mo",IF(WEEKDAY(C512,2)=2,"Di",IF(WEEKDAY(C512,2)=3,"Mi",IF(WEEKDAY(C512,2)=4,"Do.",IF(WEEKDAY(C512,2)=5,"Fr.",IF(WEEKDAY(C512,2)=6,"Sa.","So"))))))</f>
        <v/>
      </c>
      <c r="C512" s="4">
        <f>C511+1</f>
        <v/>
      </c>
      <c r="D512" s="45" t="n"/>
      <c r="E512" s="96" t="n"/>
      <c r="F512" s="2" t="inlineStr">
        <is>
          <t>h</t>
        </is>
      </c>
      <c r="G512" s="96" t="n"/>
      <c r="H512" s="21" t="n"/>
      <c r="I512" s="89" t="n"/>
      <c r="J512" s="89" t="n"/>
      <c r="K512" s="89" t="n"/>
      <c r="L512" s="89" t="n"/>
    </row>
    <row r="513">
      <c r="A513" s="9">
        <f>A512+1</f>
        <v/>
      </c>
      <c r="B513" s="2">
        <f>IF(WEEKDAY(C513,2)=1,"Mo",IF(WEEKDAY(C513,2)=2,"Di",IF(WEEKDAY(C513,2)=3,"Mi",IF(WEEKDAY(C513,2)=4,"Do.",IF(WEEKDAY(C513,2)=5,"Fr.",IF(WEEKDAY(C513,2)=6,"Sa.","So"))))))</f>
        <v/>
      </c>
      <c r="C513" s="4">
        <f>C512+1</f>
        <v/>
      </c>
      <c r="D513" s="45" t="n"/>
      <c r="E513" s="96" t="n"/>
      <c r="F513" s="2" t="inlineStr">
        <is>
          <t>h</t>
        </is>
      </c>
      <c r="G513" s="96" t="n"/>
      <c r="H513" s="21" t="n"/>
      <c r="I513" s="89" t="n"/>
      <c r="J513" s="89" t="n"/>
      <c r="K513" s="89" t="n"/>
      <c r="L513" s="89" t="n"/>
    </row>
    <row r="514">
      <c r="A514" s="9">
        <f>A513+1</f>
        <v/>
      </c>
      <c r="B514" s="2">
        <f>IF(WEEKDAY(C514,2)=1,"Mo",IF(WEEKDAY(C514,2)=2,"Di",IF(WEEKDAY(C514,2)=3,"Mi",IF(WEEKDAY(C514,2)=4,"Do.",IF(WEEKDAY(C514,2)=5,"Fr.",IF(WEEKDAY(C514,2)=6,"Sa.","So"))))))</f>
        <v/>
      </c>
      <c r="C514" s="4">
        <f>C513+1</f>
        <v/>
      </c>
      <c r="D514" s="45" t="n"/>
      <c r="E514" s="96" t="n"/>
      <c r="F514" s="2" t="inlineStr">
        <is>
          <t>h</t>
        </is>
      </c>
      <c r="G514" s="96" t="n"/>
      <c r="H514" s="21" t="n"/>
      <c r="I514" s="89" t="n"/>
      <c r="J514" s="89" t="n"/>
      <c r="K514" s="89" t="n"/>
      <c r="L514" s="89" t="n"/>
    </row>
    <row r="515">
      <c r="A515" s="9">
        <f>A514+1</f>
        <v/>
      </c>
      <c r="B515" s="2">
        <f>IF(WEEKDAY(C515,2)=1,"Mo",IF(WEEKDAY(C515,2)=2,"Di",IF(WEEKDAY(C515,2)=3,"Mi",IF(WEEKDAY(C515,2)=4,"Do.",IF(WEEKDAY(C515,2)=5,"Fr.",IF(WEEKDAY(C515,2)=6,"Sa.","So"))))))</f>
        <v/>
      </c>
      <c r="C515" s="4">
        <f>C514+1</f>
        <v/>
      </c>
      <c r="D515" s="45" t="n"/>
      <c r="E515" s="96" t="n"/>
      <c r="F515" s="2" t="inlineStr">
        <is>
          <t>h</t>
        </is>
      </c>
      <c r="G515" s="96" t="n"/>
      <c r="H515" s="21" t="n"/>
      <c r="I515" s="89" t="n"/>
      <c r="J515" s="89" t="n"/>
      <c r="K515" s="89" t="n"/>
      <c r="L515" s="89" t="n"/>
    </row>
    <row r="516" ht="14.25" customHeight="1" thickBot="1">
      <c r="A516" s="10">
        <f>A515+1</f>
        <v/>
      </c>
      <c r="B516" s="11">
        <f>IF(WEEKDAY(C516,2)=1,"Mo",IF(WEEKDAY(C516,2)=2,"Di",IF(WEEKDAY(C516,2)=3,"Mi",IF(WEEKDAY(C516,2)=4,"Do.",IF(WEEKDAY(C516,2)=5,"Fr.",IF(WEEKDAY(C516,2)=6,"Sa.","So"))))))</f>
        <v/>
      </c>
      <c r="C516" s="12">
        <f>C515+1</f>
        <v/>
      </c>
      <c r="D516" s="46" t="n"/>
      <c r="E516" s="13" t="n"/>
      <c r="F516" s="11" t="inlineStr">
        <is>
          <t>h</t>
        </is>
      </c>
      <c r="G516" s="13" t="n"/>
      <c r="H516" s="22" t="n"/>
      <c r="I516" s="89" t="n"/>
      <c r="J516" s="89" t="n"/>
      <c r="K516" s="89" t="n"/>
      <c r="L516" s="89" t="n"/>
      <c r="N516" s="49" t="n"/>
      <c r="O516" s="50" t="inlineStr">
        <is>
          <t xml:space="preserve">Hier sollte der letzte Seitenumbruch (Seite 6 Ende) zu sehen sein.  (Reiter "Ansicht &gt; Umbruchsvorschau) </t>
        </is>
      </c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N517" s="48" t="n"/>
      <c r="O517" s="1" t="inlineStr">
        <is>
          <t>Sie könne mit der Maus den Umbruch verschieben.</t>
        </is>
      </c>
    </row>
    <row r="518">
      <c r="A518" s="106">
        <f>Student_Name</f>
        <v/>
      </c>
      <c r="B518" s="116" t="n"/>
      <c r="C518" s="116" t="n"/>
      <c r="D518" s="116" t="n"/>
      <c r="E518" s="116" t="n"/>
      <c r="F518" s="116" t="n"/>
      <c r="G518" s="100" t="n"/>
      <c r="H518" s="106">
        <f>Ausbildungsbetrieb_Unternehmen</f>
        <v/>
      </c>
      <c r="I518" s="100" t="n"/>
      <c r="J518" s="100" t="n"/>
      <c r="K518" s="100" t="n"/>
      <c r="L518" s="100" t="n"/>
    </row>
    <row r="519">
      <c r="A519" s="28" t="inlineStr">
        <is>
          <t>Name</t>
        </is>
      </c>
      <c r="B519" s="28" t="n"/>
      <c r="C519" s="28" t="n"/>
      <c r="D519" s="28" t="n"/>
      <c r="E519" s="28" t="n"/>
      <c r="F519" s="28" t="n"/>
      <c r="G519" s="28" t="n"/>
      <c r="H519" s="28" t="inlineStr">
        <is>
          <t>Ausbildungsbetrieb</t>
        </is>
      </c>
      <c r="I519" s="28" t="n"/>
      <c r="J519" s="28" t="n"/>
      <c r="K519" s="28" t="n"/>
      <c r="L519" s="28" t="n"/>
    </row>
    <row r="520">
      <c r="A520" s="100" t="n"/>
      <c r="B520" s="100" t="n"/>
      <c r="C520" s="100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</row>
    <row r="521">
      <c r="A521" s="106">
        <f>Student_Vorname</f>
        <v/>
      </c>
      <c r="B521" s="116" t="n"/>
      <c r="C521" s="116" t="n"/>
      <c r="D521" s="116" t="n"/>
      <c r="E521" s="116" t="n"/>
      <c r="F521" s="116" t="n"/>
      <c r="G521" s="100" t="n"/>
      <c r="H521" s="106">
        <f>CONCATENATE(Ausbildungsbetrieb_Vorname, " ", Ausbildungsbetrieb_Name)</f>
        <v/>
      </c>
      <c r="I521" s="100" t="n"/>
      <c r="J521" s="100" t="n"/>
      <c r="K521" s="100" t="n"/>
      <c r="L521" s="100" t="n"/>
    </row>
    <row r="522">
      <c r="A522" s="28" t="inlineStr">
        <is>
          <t>Vorname</t>
        </is>
      </c>
      <c r="B522" s="28" t="n"/>
      <c r="C522" s="28" t="n"/>
      <c r="D522" s="28" t="n"/>
      <c r="E522" s="28" t="n"/>
      <c r="F522" s="28" t="n"/>
      <c r="G522" s="28" t="n"/>
      <c r="H522" s="28" t="inlineStr">
        <is>
          <t>Ansprechpartner im Betrieb</t>
        </is>
      </c>
      <c r="I522" s="28" t="n"/>
      <c r="J522" s="28" t="n"/>
      <c r="K522" s="28" t="n"/>
      <c r="L522" s="28" t="n"/>
    </row>
    <row r="523">
      <c r="A523" s="100" t="n"/>
      <c r="B523" s="100" t="n"/>
      <c r="C523" s="100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</row>
    <row r="524">
      <c r="A524" s="106">
        <f>Student_Studiengruppe</f>
        <v/>
      </c>
      <c r="B524" s="116" t="n"/>
      <c r="C524" s="116" t="n"/>
      <c r="D524" s="116" t="n"/>
      <c r="E524" s="116" t="n"/>
      <c r="F524" s="116" t="n"/>
      <c r="G524" s="100" t="n"/>
      <c r="H524" s="106">
        <f>Ausbildungsbetrieb_Email</f>
        <v/>
      </c>
      <c r="I524" s="100" t="n"/>
      <c r="J524" s="100" t="n"/>
      <c r="K524" s="100" t="n"/>
      <c r="L524" s="100" t="n"/>
    </row>
    <row r="525">
      <c r="A525" s="28" t="inlineStr">
        <is>
          <t>Studiengruppe</t>
        </is>
      </c>
      <c r="B525" s="28" t="n"/>
      <c r="C525" s="28" t="n"/>
      <c r="D525" s="28" t="n"/>
      <c r="E525" s="28" t="n"/>
      <c r="F525" s="28" t="n"/>
      <c r="G525" s="28" t="n"/>
      <c r="H525" s="28" t="inlineStr">
        <is>
          <t>Email Ansprechpartner</t>
        </is>
      </c>
      <c r="I525" s="28" t="n"/>
      <c r="J525" s="28" t="n"/>
      <c r="K525" s="28" t="n"/>
      <c r="L525" s="28" t="n"/>
    </row>
    <row r="526">
      <c r="A526" s="100" t="n"/>
      <c r="B526" s="100" t="n"/>
      <c r="C526" s="100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</row>
    <row r="527">
      <c r="A527" s="106">
        <f>Student_Matrikelnummer</f>
        <v/>
      </c>
      <c r="B527" s="116" t="n"/>
      <c r="C527" s="116" t="n"/>
      <c r="D527" s="116" t="n"/>
      <c r="E527" s="116" t="n"/>
      <c r="F527" s="116" t="n"/>
      <c r="G527" s="100" t="n"/>
      <c r="H527" s="106">
        <f>Ausbildungsbetrieb_Telefon</f>
        <v/>
      </c>
      <c r="I527" s="100" t="n"/>
      <c r="J527" s="100" t="n"/>
      <c r="K527" s="100" t="n"/>
      <c r="L527" s="100" t="n"/>
    </row>
    <row r="528">
      <c r="A528" s="28" t="inlineStr">
        <is>
          <t>Matrikelnummer</t>
        </is>
      </c>
      <c r="B528" s="28" t="n"/>
      <c r="C528" s="28" t="n"/>
      <c r="D528" s="28" t="n"/>
      <c r="E528" s="28" t="n"/>
      <c r="F528" s="28" t="n"/>
      <c r="G528" s="28" t="n"/>
      <c r="H528" s="28" t="inlineStr">
        <is>
          <t>Telefon Ansprechpartner</t>
        </is>
      </c>
      <c r="I528" s="28" t="n"/>
      <c r="J528" s="28" t="n"/>
      <c r="K528" s="28" t="n"/>
      <c r="L528" s="28" t="n"/>
    </row>
    <row r="529" ht="14.25" customHeight="1" thickBot="1">
      <c r="A529" s="100" t="n"/>
      <c r="B529" s="100" t="n"/>
      <c r="C529" s="100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</row>
    <row r="530">
      <c r="A530" s="14" t="n"/>
      <c r="B530" s="15" t="n"/>
      <c r="C530" s="15" t="n"/>
      <c r="D530" s="15" t="n"/>
      <c r="E530" s="15" t="inlineStr">
        <is>
          <t>Typ</t>
        </is>
      </c>
      <c r="F530" s="15" t="n"/>
      <c r="G530" s="15" t="n"/>
      <c r="H530" s="16" t="inlineStr">
        <is>
          <t>Vorlesung besucht?</t>
        </is>
      </c>
      <c r="I530" s="85" t="n"/>
      <c r="J530" s="85" t="n"/>
      <c r="K530" s="85" t="n"/>
      <c r="L530" s="85" t="n"/>
    </row>
    <row r="531" ht="14.25" customHeight="1" thickBot="1">
      <c r="A531" s="107" t="inlineStr">
        <is>
          <t>Tag</t>
        </is>
      </c>
      <c r="B531" s="117" t="n"/>
      <c r="C531" s="17" t="inlineStr">
        <is>
          <t>Datum</t>
        </is>
      </c>
      <c r="D531" s="17" t="n"/>
      <c r="E531" s="109" t="inlineStr">
        <is>
          <t>Anwesen-heitszeit im Betrieb</t>
        </is>
      </c>
      <c r="F531" s="117" t="n"/>
      <c r="G531" s="109" t="n"/>
      <c r="H531" s="19" t="inlineStr">
        <is>
          <t>genaue Angaben zu den Tätigkeiten</t>
        </is>
      </c>
      <c r="I531" s="85" t="n"/>
      <c r="J531" s="85" t="n"/>
      <c r="K531" s="85" t="n"/>
      <c r="L531" s="85" t="n"/>
    </row>
    <row r="532">
      <c r="A532" s="5">
        <f>A516+1</f>
        <v/>
      </c>
      <c r="B532" s="6">
        <f>IF(WEEKDAY(C532,2)=1,"Mo",IF(WEEKDAY(C532,2)=2,"Di",IF(WEEKDAY(C532,2)=3,"Mi",IF(WEEKDAY(C532,2)=4,"Do.",IF(WEEKDAY(C532,2)=5,"Fr.",IF(WEEKDAY(C532,2)=6,"Sa.","So"))))))</f>
        <v/>
      </c>
      <c r="C532" s="7">
        <f>C516+1</f>
        <v/>
      </c>
      <c r="D532" s="44" t="n"/>
      <c r="E532" s="8" t="n"/>
      <c r="F532" s="6" t="inlineStr">
        <is>
          <t>h</t>
        </is>
      </c>
      <c r="G532" s="8" t="n"/>
      <c r="H532" s="20" t="n"/>
      <c r="I532" s="89" t="n"/>
      <c r="J532" s="89" t="n"/>
      <c r="K532" s="89" t="n"/>
      <c r="L532" s="89" t="n"/>
    </row>
    <row r="533">
      <c r="A533" s="9">
        <f>A532+1</f>
        <v/>
      </c>
      <c r="B533" s="2">
        <f>IF(WEEKDAY(C533,2)=1,"Mo",IF(WEEKDAY(C533,2)=2,"Di",IF(WEEKDAY(C533,2)=3,"Mi",IF(WEEKDAY(C533,2)=4,"Do.",IF(WEEKDAY(C533,2)=5,"Fr.",IF(WEEKDAY(C533,2)=6,"Sa.","So"))))))</f>
        <v/>
      </c>
      <c r="C533" s="4">
        <f>C532+1</f>
        <v/>
      </c>
      <c r="D533" s="45" t="n"/>
      <c r="E533" s="96" t="n"/>
      <c r="F533" s="2" t="inlineStr">
        <is>
          <t>h</t>
        </is>
      </c>
      <c r="G533" s="96" t="n"/>
      <c r="H533" s="21" t="n"/>
      <c r="I533" s="89" t="n"/>
      <c r="J533" s="89" t="n"/>
      <c r="K533" s="89" t="n"/>
      <c r="L533" s="89" t="n"/>
    </row>
    <row r="534">
      <c r="A534" s="9">
        <f>A533+1</f>
        <v/>
      </c>
      <c r="B534" s="2">
        <f>IF(WEEKDAY(C534,2)=1,"Mo",IF(WEEKDAY(C534,2)=2,"Di",IF(WEEKDAY(C534,2)=3,"Mi",IF(WEEKDAY(C534,2)=4,"Do.",IF(WEEKDAY(C534,2)=5,"Fr.",IF(WEEKDAY(C534,2)=6,"Sa.","So"))))))</f>
        <v/>
      </c>
      <c r="C534" s="4">
        <f>C533+1</f>
        <v/>
      </c>
      <c r="D534" s="45" t="n"/>
      <c r="E534" s="96" t="n"/>
      <c r="F534" s="2" t="inlineStr">
        <is>
          <t>h</t>
        </is>
      </c>
      <c r="G534" s="96" t="n"/>
      <c r="H534" s="21" t="n"/>
      <c r="I534" s="89" t="n"/>
      <c r="J534" s="89" t="n"/>
      <c r="K534" s="89" t="n"/>
      <c r="L534" s="89" t="n"/>
    </row>
    <row r="535">
      <c r="A535" s="9">
        <f>A534+1</f>
        <v/>
      </c>
      <c r="B535" s="2">
        <f>IF(WEEKDAY(C535,2)=1,"Mo",IF(WEEKDAY(C535,2)=2,"Di",IF(WEEKDAY(C535,2)=3,"Mi",IF(WEEKDAY(C535,2)=4,"Do.",IF(WEEKDAY(C535,2)=5,"Fr.",IF(WEEKDAY(C535,2)=6,"Sa.","So"))))))</f>
        <v/>
      </c>
      <c r="C535" s="4">
        <f>C534+1</f>
        <v/>
      </c>
      <c r="D535" s="45" t="n"/>
      <c r="E535" s="96" t="n"/>
      <c r="F535" s="2" t="inlineStr">
        <is>
          <t>h</t>
        </is>
      </c>
      <c r="G535" s="96" t="n"/>
      <c r="H535" s="21" t="n"/>
      <c r="I535" s="89" t="n"/>
      <c r="J535" s="89" t="n"/>
      <c r="K535" s="89" t="n"/>
      <c r="L535" s="89" t="n"/>
    </row>
    <row r="536">
      <c r="A536" s="9">
        <f>A535+1</f>
        <v/>
      </c>
      <c r="B536" s="2">
        <f>IF(WEEKDAY(C536,2)=1,"Mo",IF(WEEKDAY(C536,2)=2,"Di",IF(WEEKDAY(C536,2)=3,"Mi",IF(WEEKDAY(C536,2)=4,"Do.",IF(WEEKDAY(C536,2)=5,"Fr.",IF(WEEKDAY(C536,2)=6,"Sa.","So"))))))</f>
        <v/>
      </c>
      <c r="C536" s="4">
        <f>C535+1</f>
        <v/>
      </c>
      <c r="D536" s="45" t="n"/>
      <c r="E536" s="96" t="n"/>
      <c r="F536" s="2" t="inlineStr">
        <is>
          <t>h</t>
        </is>
      </c>
      <c r="G536" s="96" t="n"/>
      <c r="H536" s="21" t="n"/>
      <c r="I536" s="89" t="n"/>
      <c r="J536" s="89" t="n"/>
      <c r="K536" s="89" t="n"/>
      <c r="L536" s="89" t="n"/>
    </row>
    <row r="537">
      <c r="A537" s="9">
        <f>A536+1</f>
        <v/>
      </c>
      <c r="B537" s="2">
        <f>IF(WEEKDAY(C537,2)=1,"Mo",IF(WEEKDAY(C537,2)=2,"Di",IF(WEEKDAY(C537,2)=3,"Mi",IF(WEEKDAY(C537,2)=4,"Do.",IF(WEEKDAY(C537,2)=5,"Fr.",IF(WEEKDAY(C537,2)=6,"Sa.","So"))))))</f>
        <v/>
      </c>
      <c r="C537" s="4">
        <f>C536+1</f>
        <v/>
      </c>
      <c r="D537" s="45" t="n"/>
      <c r="E537" s="96" t="n"/>
      <c r="F537" s="2" t="inlineStr">
        <is>
          <t>h</t>
        </is>
      </c>
      <c r="G537" s="96" t="n"/>
      <c r="H537" s="21" t="n"/>
      <c r="I537" s="89" t="n"/>
      <c r="J537" s="89" t="n"/>
      <c r="K537" s="89" t="n"/>
      <c r="L537" s="89" t="n"/>
    </row>
    <row r="538">
      <c r="A538" s="9">
        <f>A537+1</f>
        <v/>
      </c>
      <c r="B538" s="2">
        <f>IF(WEEKDAY(C538,2)=1,"Mo",IF(WEEKDAY(C538,2)=2,"Di",IF(WEEKDAY(C538,2)=3,"Mi",IF(WEEKDAY(C538,2)=4,"Do.",IF(WEEKDAY(C538,2)=5,"Fr.",IF(WEEKDAY(C538,2)=6,"Sa.","So"))))))</f>
        <v/>
      </c>
      <c r="C538" s="4">
        <f>C537+1</f>
        <v/>
      </c>
      <c r="D538" s="45" t="n"/>
      <c r="E538" s="96" t="n"/>
      <c r="F538" s="2" t="inlineStr">
        <is>
          <t>h</t>
        </is>
      </c>
      <c r="G538" s="96" t="n"/>
      <c r="H538" s="21" t="n"/>
      <c r="I538" s="89" t="n"/>
      <c r="J538" s="89" t="n"/>
      <c r="K538" s="89" t="n"/>
      <c r="L538" s="89" t="n"/>
    </row>
    <row r="539">
      <c r="A539" s="9">
        <f>A538+1</f>
        <v/>
      </c>
      <c r="B539" s="2">
        <f>IF(WEEKDAY(C539,2)=1,"Mo",IF(WEEKDAY(C539,2)=2,"Di",IF(WEEKDAY(C539,2)=3,"Mi",IF(WEEKDAY(C539,2)=4,"Do.",IF(WEEKDAY(C539,2)=5,"Fr.",IF(WEEKDAY(C539,2)=6,"Sa.","So"))))))</f>
        <v/>
      </c>
      <c r="C539" s="4">
        <f>C538+1</f>
        <v/>
      </c>
      <c r="D539" s="45" t="n"/>
      <c r="E539" s="96" t="n"/>
      <c r="F539" s="2" t="inlineStr">
        <is>
          <t>h</t>
        </is>
      </c>
      <c r="G539" s="96" t="n"/>
      <c r="H539" s="21" t="n"/>
      <c r="I539" s="89" t="n"/>
      <c r="J539" s="89" t="n"/>
      <c r="K539" s="89" t="n"/>
      <c r="L539" s="89" t="n"/>
    </row>
    <row r="540">
      <c r="A540" s="9">
        <f>A539+1</f>
        <v/>
      </c>
      <c r="B540" s="2">
        <f>IF(WEEKDAY(C540,2)=1,"Mo",IF(WEEKDAY(C540,2)=2,"Di",IF(WEEKDAY(C540,2)=3,"Mi",IF(WEEKDAY(C540,2)=4,"Do.",IF(WEEKDAY(C540,2)=5,"Fr.",IF(WEEKDAY(C540,2)=6,"Sa.","So"))))))</f>
        <v/>
      </c>
      <c r="C540" s="4">
        <f>C539+1</f>
        <v/>
      </c>
      <c r="D540" s="45" t="n"/>
      <c r="E540" s="96" t="n"/>
      <c r="F540" s="2" t="inlineStr">
        <is>
          <t>h</t>
        </is>
      </c>
      <c r="G540" s="96" t="n"/>
      <c r="H540" s="21" t="n"/>
      <c r="I540" s="89" t="n"/>
      <c r="J540" s="89" t="n"/>
      <c r="K540" s="89" t="n"/>
      <c r="L540" s="89" t="n"/>
    </row>
    <row r="541">
      <c r="A541" s="9">
        <f>A540+1</f>
        <v/>
      </c>
      <c r="B541" s="2">
        <f>IF(WEEKDAY(C541,2)=1,"Mo",IF(WEEKDAY(C541,2)=2,"Di",IF(WEEKDAY(C541,2)=3,"Mi",IF(WEEKDAY(C541,2)=4,"Do.",IF(WEEKDAY(C541,2)=5,"Fr.",IF(WEEKDAY(C541,2)=6,"Sa.","So"))))))</f>
        <v/>
      </c>
      <c r="C541" s="4">
        <f>C540+1</f>
        <v/>
      </c>
      <c r="D541" s="45" t="n"/>
      <c r="E541" s="96" t="n"/>
      <c r="F541" s="2" t="inlineStr">
        <is>
          <t>h</t>
        </is>
      </c>
      <c r="G541" s="96" t="n"/>
      <c r="H541" s="21" t="n"/>
      <c r="I541" s="89" t="n"/>
      <c r="J541" s="89" t="n"/>
      <c r="K541" s="89" t="n"/>
      <c r="L541" s="89" t="n"/>
    </row>
    <row r="542">
      <c r="A542" s="9">
        <f>A541+1</f>
        <v/>
      </c>
      <c r="B542" s="2">
        <f>IF(WEEKDAY(C542,2)=1,"Mo",IF(WEEKDAY(C542,2)=2,"Di",IF(WEEKDAY(C542,2)=3,"Mi",IF(WEEKDAY(C542,2)=4,"Do.",IF(WEEKDAY(C542,2)=5,"Fr.",IF(WEEKDAY(C542,2)=6,"Sa.","So"))))))</f>
        <v/>
      </c>
      <c r="C542" s="4">
        <f>C541+1</f>
        <v/>
      </c>
      <c r="D542" s="45" t="n"/>
      <c r="E542" s="96" t="n"/>
      <c r="F542" s="2" t="inlineStr">
        <is>
          <t>h</t>
        </is>
      </c>
      <c r="G542" s="96" t="n"/>
      <c r="H542" s="21" t="n"/>
      <c r="I542" s="89" t="n"/>
      <c r="J542" s="89" t="n"/>
      <c r="K542" s="89" t="n"/>
      <c r="L542" s="89" t="n"/>
    </row>
    <row r="543">
      <c r="A543" s="9">
        <f>A542+1</f>
        <v/>
      </c>
      <c r="B543" s="2">
        <f>IF(WEEKDAY(C543,2)=1,"Mo",IF(WEEKDAY(C543,2)=2,"Di",IF(WEEKDAY(C543,2)=3,"Mi",IF(WEEKDAY(C543,2)=4,"Do.",IF(WEEKDAY(C543,2)=5,"Fr.",IF(WEEKDAY(C543,2)=6,"Sa.","So"))))))</f>
        <v/>
      </c>
      <c r="C543" s="4">
        <f>C542+1</f>
        <v/>
      </c>
      <c r="D543" s="45" t="n"/>
      <c r="E543" s="96" t="n"/>
      <c r="F543" s="2" t="inlineStr">
        <is>
          <t>h</t>
        </is>
      </c>
      <c r="G543" s="96" t="n"/>
      <c r="H543" s="21" t="n"/>
      <c r="I543" s="89" t="n"/>
      <c r="J543" s="89" t="n"/>
      <c r="K543" s="89" t="n"/>
      <c r="L543" s="89" t="n"/>
    </row>
    <row r="544">
      <c r="A544" s="9">
        <f>A543+1</f>
        <v/>
      </c>
      <c r="B544" s="2">
        <f>IF(WEEKDAY(C544,2)=1,"Mo",IF(WEEKDAY(C544,2)=2,"Di",IF(WEEKDAY(C544,2)=3,"Mi",IF(WEEKDAY(C544,2)=4,"Do.",IF(WEEKDAY(C544,2)=5,"Fr.",IF(WEEKDAY(C544,2)=6,"Sa.","So"))))))</f>
        <v/>
      </c>
      <c r="C544" s="4">
        <f>C543+1</f>
        <v/>
      </c>
      <c r="D544" s="45" t="n"/>
      <c r="E544" s="96" t="n"/>
      <c r="F544" s="2" t="inlineStr">
        <is>
          <t>h</t>
        </is>
      </c>
      <c r="G544" s="96" t="n"/>
      <c r="H544" s="21" t="n"/>
      <c r="I544" s="89" t="n"/>
      <c r="J544" s="89" t="n"/>
      <c r="K544" s="89" t="n"/>
      <c r="L544" s="89" t="n"/>
    </row>
    <row r="545">
      <c r="A545" s="9">
        <f>A544+1</f>
        <v/>
      </c>
      <c r="B545" s="2">
        <f>IF(WEEKDAY(C545,2)=1,"Mo",IF(WEEKDAY(C545,2)=2,"Di",IF(WEEKDAY(C545,2)=3,"Mi",IF(WEEKDAY(C545,2)=4,"Do.",IF(WEEKDAY(C545,2)=5,"Fr.",IF(WEEKDAY(C545,2)=6,"Sa.","So"))))))</f>
        <v/>
      </c>
      <c r="C545" s="4">
        <f>C544+1</f>
        <v/>
      </c>
      <c r="D545" s="45" t="n"/>
      <c r="E545" s="96" t="n"/>
      <c r="F545" s="2" t="inlineStr">
        <is>
          <t>h</t>
        </is>
      </c>
      <c r="G545" s="96" t="n"/>
      <c r="H545" s="21" t="n"/>
      <c r="I545" s="89" t="n"/>
      <c r="J545" s="89" t="n"/>
      <c r="K545" s="89" t="n"/>
      <c r="L545" s="89" t="n"/>
    </row>
    <row r="546">
      <c r="A546" s="9">
        <f>A545+1</f>
        <v/>
      </c>
      <c r="B546" s="2">
        <f>IF(WEEKDAY(C546,2)=1,"Mo",IF(WEEKDAY(C546,2)=2,"Di",IF(WEEKDAY(C546,2)=3,"Mi",IF(WEEKDAY(C546,2)=4,"Do.",IF(WEEKDAY(C546,2)=5,"Fr.",IF(WEEKDAY(C546,2)=6,"Sa.","So"))))))</f>
        <v/>
      </c>
      <c r="C546" s="4">
        <f>C545+1</f>
        <v/>
      </c>
      <c r="D546" s="45" t="n"/>
      <c r="E546" s="96" t="n"/>
      <c r="F546" s="2" t="inlineStr">
        <is>
          <t>h</t>
        </is>
      </c>
      <c r="G546" s="96" t="n"/>
      <c r="H546" s="21" t="n"/>
      <c r="I546" s="89" t="n"/>
      <c r="J546" s="89" t="n"/>
      <c r="K546" s="89" t="n"/>
      <c r="L546" s="89" t="n"/>
    </row>
    <row r="547">
      <c r="A547" s="9">
        <f>A546+1</f>
        <v/>
      </c>
      <c r="B547" s="2">
        <f>IF(WEEKDAY(C547,2)=1,"Mo",IF(WEEKDAY(C547,2)=2,"Di",IF(WEEKDAY(C547,2)=3,"Mi",IF(WEEKDAY(C547,2)=4,"Do.",IF(WEEKDAY(C547,2)=5,"Fr.",IF(WEEKDAY(C547,2)=6,"Sa.","So"))))))</f>
        <v/>
      </c>
      <c r="C547" s="4">
        <f>C546+1</f>
        <v/>
      </c>
      <c r="D547" s="45" t="n"/>
      <c r="E547" s="96" t="n"/>
      <c r="F547" s="2" t="inlineStr">
        <is>
          <t>h</t>
        </is>
      </c>
      <c r="G547" s="96" t="n"/>
      <c r="H547" s="21" t="n"/>
      <c r="I547" s="89" t="n"/>
      <c r="J547" s="89" t="n"/>
      <c r="K547" s="89" t="n"/>
      <c r="L547" s="89" t="n"/>
    </row>
    <row r="548">
      <c r="A548" s="9">
        <f>A547+1</f>
        <v/>
      </c>
      <c r="B548" s="2">
        <f>IF(WEEKDAY(C548,2)=1,"Mo",IF(WEEKDAY(C548,2)=2,"Di",IF(WEEKDAY(C548,2)=3,"Mi",IF(WEEKDAY(C548,2)=4,"Do.",IF(WEEKDAY(C548,2)=5,"Fr.",IF(WEEKDAY(C548,2)=6,"Sa.","So"))))))</f>
        <v/>
      </c>
      <c r="C548" s="4">
        <f>C547+1</f>
        <v/>
      </c>
      <c r="D548" s="45" t="n"/>
      <c r="E548" s="96" t="n"/>
      <c r="F548" s="2" t="inlineStr">
        <is>
          <t>h</t>
        </is>
      </c>
      <c r="G548" s="96" t="n"/>
      <c r="H548" s="21" t="n"/>
      <c r="I548" s="89" t="n"/>
      <c r="J548" s="89" t="n"/>
      <c r="K548" s="89" t="n"/>
      <c r="L548" s="89" t="n"/>
    </row>
    <row r="549">
      <c r="A549" s="9">
        <f>A548+1</f>
        <v/>
      </c>
      <c r="B549" s="2">
        <f>IF(WEEKDAY(C549,2)=1,"Mo",IF(WEEKDAY(C549,2)=2,"Di",IF(WEEKDAY(C549,2)=3,"Mi",IF(WEEKDAY(C549,2)=4,"Do.",IF(WEEKDAY(C549,2)=5,"Fr.",IF(WEEKDAY(C549,2)=6,"Sa.","So"))))))</f>
        <v/>
      </c>
      <c r="C549" s="4">
        <f>C548+1</f>
        <v/>
      </c>
      <c r="D549" s="45" t="n"/>
      <c r="E549" s="96" t="n"/>
      <c r="F549" s="2" t="inlineStr">
        <is>
          <t>h</t>
        </is>
      </c>
      <c r="G549" s="96" t="n"/>
      <c r="H549" s="21" t="n"/>
      <c r="I549" s="89" t="n"/>
      <c r="J549" s="89" t="n"/>
      <c r="K549" s="89" t="n"/>
      <c r="L549" s="89" t="n"/>
    </row>
    <row r="550">
      <c r="A550" s="9">
        <f>A549+1</f>
        <v/>
      </c>
      <c r="B550" s="2">
        <f>IF(WEEKDAY(C550,2)=1,"Mo",IF(WEEKDAY(C550,2)=2,"Di",IF(WEEKDAY(C550,2)=3,"Mi",IF(WEEKDAY(C550,2)=4,"Do.",IF(WEEKDAY(C550,2)=5,"Fr.",IF(WEEKDAY(C550,2)=6,"Sa.","So"))))))</f>
        <v/>
      </c>
      <c r="C550" s="4">
        <f>C549+1</f>
        <v/>
      </c>
      <c r="D550" s="45" t="n"/>
      <c r="E550" s="96" t="n"/>
      <c r="F550" s="2" t="inlineStr">
        <is>
          <t>h</t>
        </is>
      </c>
      <c r="G550" s="96" t="n"/>
      <c r="H550" s="21" t="n"/>
      <c r="I550" s="89" t="n"/>
      <c r="J550" s="89" t="n"/>
      <c r="K550" s="89" t="n"/>
      <c r="L550" s="89" t="n"/>
    </row>
    <row r="551">
      <c r="A551" s="9">
        <f>A550+1</f>
        <v/>
      </c>
      <c r="B551" s="2">
        <f>IF(WEEKDAY(C551,2)=1,"Mo",IF(WEEKDAY(C551,2)=2,"Di",IF(WEEKDAY(C551,2)=3,"Mi",IF(WEEKDAY(C551,2)=4,"Do.",IF(WEEKDAY(C551,2)=5,"Fr.",IF(WEEKDAY(C551,2)=6,"Sa.","So"))))))</f>
        <v/>
      </c>
      <c r="C551" s="4">
        <f>C550+1</f>
        <v/>
      </c>
      <c r="D551" s="45" t="n"/>
      <c r="E551" s="96" t="n"/>
      <c r="F551" s="2" t="inlineStr">
        <is>
          <t>h</t>
        </is>
      </c>
      <c r="G551" s="96" t="n"/>
      <c r="H551" s="21" t="n"/>
      <c r="I551" s="89" t="n"/>
      <c r="J551" s="89" t="n"/>
      <c r="K551" s="89" t="n"/>
      <c r="L551" s="89" t="n"/>
    </row>
    <row r="552">
      <c r="A552" s="9">
        <f>A551+1</f>
        <v/>
      </c>
      <c r="B552" s="2">
        <f>IF(WEEKDAY(C552,2)=1,"Mo",IF(WEEKDAY(C552,2)=2,"Di",IF(WEEKDAY(C552,2)=3,"Mi",IF(WEEKDAY(C552,2)=4,"Do.",IF(WEEKDAY(C552,2)=5,"Fr.",IF(WEEKDAY(C552,2)=6,"Sa.","So"))))))</f>
        <v/>
      </c>
      <c r="C552" s="4">
        <f>C551+1</f>
        <v/>
      </c>
      <c r="D552" s="45" t="n"/>
      <c r="E552" s="96" t="n"/>
      <c r="F552" s="2" t="inlineStr">
        <is>
          <t>h</t>
        </is>
      </c>
      <c r="G552" s="96" t="n"/>
      <c r="H552" s="21" t="n"/>
      <c r="I552" s="89" t="n"/>
      <c r="J552" s="89" t="n"/>
      <c r="K552" s="89" t="n"/>
      <c r="L552" s="89" t="n"/>
    </row>
    <row r="553">
      <c r="A553" s="9">
        <f>A552+1</f>
        <v/>
      </c>
      <c r="B553" s="2">
        <f>IF(WEEKDAY(C553,2)=1,"Mo",IF(WEEKDAY(C553,2)=2,"Di",IF(WEEKDAY(C553,2)=3,"Mi",IF(WEEKDAY(C553,2)=4,"Do.",IF(WEEKDAY(C553,2)=5,"Fr.",IF(WEEKDAY(C553,2)=6,"Sa.","So"))))))</f>
        <v/>
      </c>
      <c r="C553" s="4">
        <f>C552+1</f>
        <v/>
      </c>
      <c r="D553" s="45" t="n"/>
      <c r="E553" s="96" t="n"/>
      <c r="F553" s="2" t="inlineStr">
        <is>
          <t>h</t>
        </is>
      </c>
      <c r="G553" s="96" t="n"/>
      <c r="H553" s="21" t="n"/>
      <c r="I553" s="89" t="n"/>
      <c r="J553" s="89" t="n"/>
      <c r="K553" s="89" t="n"/>
      <c r="L553" s="89" t="n"/>
    </row>
    <row r="554">
      <c r="A554" s="9">
        <f>A553+1</f>
        <v/>
      </c>
      <c r="B554" s="2">
        <f>IF(WEEKDAY(C554,2)=1,"Mo",IF(WEEKDAY(C554,2)=2,"Di",IF(WEEKDAY(C554,2)=3,"Mi",IF(WEEKDAY(C554,2)=4,"Do.",IF(WEEKDAY(C554,2)=5,"Fr.",IF(WEEKDAY(C554,2)=6,"Sa.","So"))))))</f>
        <v/>
      </c>
      <c r="C554" s="4">
        <f>C553+1</f>
        <v/>
      </c>
      <c r="D554" s="45" t="n"/>
      <c r="E554" s="96" t="n"/>
      <c r="F554" s="2" t="inlineStr">
        <is>
          <t>h</t>
        </is>
      </c>
      <c r="G554" s="96" t="n"/>
      <c r="H554" s="21" t="n"/>
      <c r="I554" s="89" t="n"/>
      <c r="J554" s="89" t="n"/>
      <c r="K554" s="89" t="n"/>
      <c r="L554" s="89" t="n"/>
    </row>
    <row r="555">
      <c r="A555" s="9">
        <f>A554+1</f>
        <v/>
      </c>
      <c r="B555" s="2">
        <f>IF(WEEKDAY(C555,2)=1,"Mo",IF(WEEKDAY(C555,2)=2,"Di",IF(WEEKDAY(C555,2)=3,"Mi",IF(WEEKDAY(C555,2)=4,"Do.",IF(WEEKDAY(C555,2)=5,"Fr.",IF(WEEKDAY(C555,2)=6,"Sa.","So"))))))</f>
        <v/>
      </c>
      <c r="C555" s="4">
        <f>C554+1</f>
        <v/>
      </c>
      <c r="D555" s="45" t="n"/>
      <c r="E555" s="96" t="n"/>
      <c r="F555" s="2" t="inlineStr">
        <is>
          <t>h</t>
        </is>
      </c>
      <c r="G555" s="96" t="n"/>
      <c r="H555" s="21" t="n"/>
      <c r="I555" s="89" t="n"/>
      <c r="J555" s="89" t="n"/>
      <c r="K555" s="89" t="n"/>
      <c r="L555" s="89" t="n"/>
    </row>
    <row r="556">
      <c r="A556" s="9">
        <f>A555+1</f>
        <v/>
      </c>
      <c r="B556" s="2">
        <f>IF(WEEKDAY(C556,2)=1,"Mo",IF(WEEKDAY(C556,2)=2,"Di",IF(WEEKDAY(C556,2)=3,"Mi",IF(WEEKDAY(C556,2)=4,"Do.",IF(WEEKDAY(C556,2)=5,"Fr.",IF(WEEKDAY(C556,2)=6,"Sa.","So"))))))</f>
        <v/>
      </c>
      <c r="C556" s="4">
        <f>C555+1</f>
        <v/>
      </c>
      <c r="D556" s="45" t="n"/>
      <c r="E556" s="96" t="n"/>
      <c r="F556" s="2" t="inlineStr">
        <is>
          <t>h</t>
        </is>
      </c>
      <c r="G556" s="96" t="n"/>
      <c r="H556" s="21" t="n"/>
      <c r="I556" s="89" t="n"/>
      <c r="J556" s="89" t="n"/>
      <c r="K556" s="89" t="n"/>
      <c r="L556" s="89" t="n"/>
    </row>
    <row r="557">
      <c r="A557" s="9">
        <f>A556+1</f>
        <v/>
      </c>
      <c r="B557" s="2">
        <f>IF(WEEKDAY(C557,2)=1,"Mo",IF(WEEKDAY(C557,2)=2,"Di",IF(WEEKDAY(C557,2)=3,"Mi",IF(WEEKDAY(C557,2)=4,"Do.",IF(WEEKDAY(C557,2)=5,"Fr.",IF(WEEKDAY(C557,2)=6,"Sa.","So"))))))</f>
        <v/>
      </c>
      <c r="C557" s="4">
        <f>C556+1</f>
        <v/>
      </c>
      <c r="D557" s="45" t="n"/>
      <c r="E557" s="96" t="n"/>
      <c r="F557" s="2" t="inlineStr">
        <is>
          <t>h</t>
        </is>
      </c>
      <c r="G557" s="96" t="n"/>
      <c r="H557" s="21" t="n"/>
      <c r="I557" s="89" t="n"/>
      <c r="J557" s="89" t="n"/>
      <c r="K557" s="89" t="n"/>
      <c r="L557" s="89" t="n"/>
    </row>
    <row r="558">
      <c r="A558" s="9">
        <f>A557+1</f>
        <v/>
      </c>
      <c r="B558" s="2">
        <f>IF(WEEKDAY(C558,2)=1,"Mo",IF(WEEKDAY(C558,2)=2,"Di",IF(WEEKDAY(C558,2)=3,"Mi",IF(WEEKDAY(C558,2)=4,"Do.",IF(WEEKDAY(C558,2)=5,"Fr.",IF(WEEKDAY(C558,2)=6,"Sa.","So"))))))</f>
        <v/>
      </c>
      <c r="C558" s="4">
        <f>C557+1</f>
        <v/>
      </c>
      <c r="D558" s="45" t="n"/>
      <c r="E558" s="96" t="n"/>
      <c r="F558" s="2" t="inlineStr">
        <is>
          <t>h</t>
        </is>
      </c>
      <c r="G558" s="96" t="n"/>
      <c r="H558" s="21" t="n"/>
      <c r="I558" s="89" t="n"/>
      <c r="J558" s="89" t="n"/>
      <c r="K558" s="89" t="n"/>
      <c r="L558" s="89" t="n"/>
    </row>
    <row r="559" ht="14.25" customHeight="1" thickBot="1">
      <c r="A559" s="10">
        <f>A558+1</f>
        <v/>
      </c>
      <c r="B559" s="11">
        <f>IF(WEEKDAY(C559,2)=1,"Mo",IF(WEEKDAY(C559,2)=2,"Di",IF(WEEKDAY(C559,2)=3,"Mi",IF(WEEKDAY(C559,2)=4,"Do.",IF(WEEKDAY(C559,2)=5,"Fr.",IF(WEEKDAY(C559,2)=6,"Sa.","So"))))))</f>
        <v/>
      </c>
      <c r="C559" s="12">
        <f>C558+1</f>
        <v/>
      </c>
      <c r="D559" s="46" t="n"/>
      <c r="E559" s="13" t="n"/>
      <c r="F559" s="11" t="inlineStr">
        <is>
          <t>h</t>
        </is>
      </c>
      <c r="G559" s="13" t="n"/>
      <c r="H559" s="22" t="n"/>
      <c r="I559" s="89" t="n"/>
      <c r="J559" s="89" t="n"/>
      <c r="K559" s="89" t="n"/>
      <c r="L559" s="89" t="n"/>
      <c r="N559" s="49" t="n"/>
      <c r="O559" s="50" t="inlineStr">
        <is>
          <t xml:space="preserve">Hier sollte der letzte Seitenumbruch (Seite 6 Ende) zu sehen sein.  (Reiter "Ansicht &gt; Umbruchsvorschau) </t>
        </is>
      </c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</row>
    <row r="560">
      <c r="N560" s="48" t="n"/>
      <c r="O560" s="1" t="inlineStr">
        <is>
          <t>Sie könne mit der Maus den Umbruch verschieben.</t>
        </is>
      </c>
    </row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1048576">
      <c r="D1048576" s="45" t="n"/>
    </row>
  </sheetData>
  <sheetProtection selectLockedCells="1" selectUnlockedCells="0" algorithmName="SHA-512" sheet="1" objects="1" insertRows="0" insertHyperlinks="0" autoFilter="0" scenarios="1" formatColumns="0" deleteColumns="0" insertColumns="0" pivotTables="0" deleteRows="0" formatCells="0" saltValue="hgkCgzkffXn2gUmLglYY2A==" formatRows="0" sort="0" spinCount="100000" hashValue="0pLld3xGiYx68leeBk60B8xPVEUfXavTkLATUyCy8Lvz79HH6WBAO228/FcxbGPe+Rv7eRlUpMhKtX2lP+tCFw=="/>
  <mergeCells count="78">
    <mergeCell ref="A174:F174"/>
    <mergeCell ref="A183:F183"/>
    <mergeCell ref="A15:B15"/>
    <mergeCell ref="A524:F524"/>
    <mergeCell ref="A5:F5"/>
    <mergeCell ref="A263:F263"/>
    <mergeCell ref="A303:F303"/>
    <mergeCell ref="A97:F97"/>
    <mergeCell ref="A395:F395"/>
    <mergeCell ref="A134:F134"/>
    <mergeCell ref="A101:B101"/>
    <mergeCell ref="E101:F101"/>
    <mergeCell ref="A226:F226"/>
    <mergeCell ref="A51:F51"/>
    <mergeCell ref="A266:F266"/>
    <mergeCell ref="A260:F260"/>
    <mergeCell ref="A349:F349"/>
    <mergeCell ref="A527:F527"/>
    <mergeCell ref="A230:B230"/>
    <mergeCell ref="A355:F355"/>
    <mergeCell ref="E531:F531"/>
    <mergeCell ref="A438:F438"/>
    <mergeCell ref="A223:F223"/>
    <mergeCell ref="A306:F306"/>
    <mergeCell ref="A359:B359"/>
    <mergeCell ref="A2:F2"/>
    <mergeCell ref="A269:F269"/>
    <mergeCell ref="A316:B316"/>
    <mergeCell ref="E445:F445"/>
    <mergeCell ref="A392:F392"/>
    <mergeCell ref="A435:F435"/>
    <mergeCell ref="A475:F475"/>
    <mergeCell ref="E316:F316"/>
    <mergeCell ref="A48:F48"/>
    <mergeCell ref="A11:F11"/>
    <mergeCell ref="E488:F488"/>
    <mergeCell ref="E187:F187"/>
    <mergeCell ref="A88:F88"/>
    <mergeCell ref="E58:F58"/>
    <mergeCell ref="A346:F346"/>
    <mergeCell ref="A398:F398"/>
    <mergeCell ref="A54:F54"/>
    <mergeCell ref="A478:F478"/>
    <mergeCell ref="A137:F137"/>
    <mergeCell ref="A177:F177"/>
    <mergeCell ref="A217:F217"/>
    <mergeCell ref="A402:B402"/>
    <mergeCell ref="E402:F402"/>
    <mergeCell ref="A309:F309"/>
    <mergeCell ref="A8:F8"/>
    <mergeCell ref="A131:F131"/>
    <mergeCell ref="A273:B273"/>
    <mergeCell ref="A140:F140"/>
    <mergeCell ref="A531:B531"/>
    <mergeCell ref="A180:F180"/>
    <mergeCell ref="A481:F481"/>
    <mergeCell ref="E15:F15"/>
    <mergeCell ref="E359:F359"/>
    <mergeCell ref="A441:F441"/>
    <mergeCell ref="E144:F144"/>
    <mergeCell ref="A521:F521"/>
    <mergeCell ref="A445:B445"/>
    <mergeCell ref="A45:F45"/>
    <mergeCell ref="A94:F94"/>
    <mergeCell ref="A484:F484"/>
    <mergeCell ref="A488:B488"/>
    <mergeCell ref="A187:B187"/>
    <mergeCell ref="A312:F312"/>
    <mergeCell ref="E230:F230"/>
    <mergeCell ref="A91:F91"/>
    <mergeCell ref="A389:F389"/>
    <mergeCell ref="A432:F432"/>
    <mergeCell ref="A220:F220"/>
    <mergeCell ref="A518:F518"/>
    <mergeCell ref="A144:B144"/>
    <mergeCell ref="A352:F352"/>
    <mergeCell ref="E273:F273"/>
    <mergeCell ref="A58:B58"/>
  </mergeCells>
  <dataValidations xWindow="280" yWindow="797" count="3">
    <dataValidation sqref="G16:G43 G59:G86 G102:G129 G145:G172 G188:G215 G231:G258 G274:G301 G317:G344 G360:G387 G403:G430 G446:G473 G489:G516 G532:G559" showDropDown="0" showInputMessage="1" showErrorMessage="1" allowBlank="1" errorTitle="Korrekte EIngabe beachten" error="Bitte geben Sie nur &quot;ja&quot; oder &quot;nein&quot; ein." promptTitle="begleitende Lehrveranstaltung" prompt="Bitte geben Sie hier &quot;ja&quot; an, wenn Sie an diesem Tag eine begleitende Lehrveranstaltung besucht haben. Alle anderen Lehrveranstaltungen sind hier nicht zu berücksichtigen." type="list" errorStyle="information">
      <formula1>"ja, nein"</formula1>
    </dataValidation>
    <dataValidation sqref="E16:E43 E59:E86 E102:E129 E145:E172 E188:E215 E231:E258 E274:E301 E317:E344 E360:E387 E403:E430 E446:E473 E489:E516 E532:E559" showDropDown="0" showInputMessage="1" showErrorMessage="1" allowBlank="1" errorTitle="Eingabe beachten" error="Bitte beachten Sie das vorgegebene Eingabeformat_x000a_" promptTitle="Eingabe Arbeitszeit" prompt="Geben Sie bitte als Dezimalzahl ihre Arbeitszeit (Anwesenheitszeit) am genannten Tag ein. 7 Stunden und 30 Minuten &gt;&gt; 7,5 ._x000a_Sie können die Anwesenheitszeit auf die Viertelstunde aufrunden." type="decimal">
      <formula1>0</formula1>
      <formula2>24</formula2>
    </dataValidation>
    <dataValidation sqref="M16:M43 M59:M60" showDropDown="0" showInputMessage="1" showErrorMessage="1" allowBlank="1" type="list" errorStyle="information">
      <formula1>" 001 - Beschreibung nicht ausreichend, 002 - Stundenangabe nicht plausibel, 003 - keine Vorlesung angeboten, 004 - keine Vorlesung angeboten, 005 - Abwesenheit, 006 - keine relevante Tätigkeit, 999 - Sonstiges"</formula1>
    </dataValidation>
  </dataValidations>
  <pageMargins left="0.7086614173228347" right="0.7086614173228347" top="1.181102362204725" bottom="1.181102362204725" header="0.2755905511811024" footer="0.2755905511811024"/>
  <pageSetup orientation="portrait" paperSize="9" scale="69" fitToHeight="0"/>
  <headerFooter>
    <oddHeader>&amp;L_x000a__x000a_&amp;C&amp;"-,Fett"Tätigkeitsbericht _x000a_Pflichtpraktikum&amp;R_x000a_&amp;D_x000a_&amp;P von &amp;N</oddHeader>
    <oddFooter>&amp;L&amp;"-,Standard"_x000a__x000a_Bestätigung des Ausbildungsbetriebes: _x000a__x000a__x000a__x000a__________________        __________________________________x000a_Datum                                   Unterschrift und Firmenstempel</oddFooter>
    <evenHeader/>
    <evenFooter/>
    <firstHeader/>
    <firstFooter/>
  </headerFooter>
  <rowBreaks count="12" manualBreakCount="12">
    <brk id="43" min="0" max="8" man="1"/>
    <brk id="86" min="0" max="8" man="1"/>
    <brk id="129" min="0" max="8" man="1"/>
    <brk id="172" min="0" max="8" man="1"/>
    <brk id="215" min="0" max="8" man="1"/>
    <brk id="258" min="0" max="8" man="1"/>
    <brk id="301" min="0" max="8" man="1"/>
    <brk id="344" min="0" max="8" man="1"/>
    <brk id="387" min="0" max="8" man="1"/>
    <brk id="430" min="0" max="8" man="1"/>
    <brk id="473" min="0" max="8" man="1"/>
    <brk id="516" min="0" max="8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Tabelle2">
    <outlinePr summaryBelow="1" summaryRight="1"/>
    <pageSetUpPr/>
  </sheetPr>
  <dimension ref="A1:G19"/>
  <sheetViews>
    <sheetView workbookViewId="0">
      <selection activeCell="G37" sqref="G37"/>
    </sheetView>
  </sheetViews>
  <sheetFormatPr baseColWidth="8" defaultColWidth="10.76171875" defaultRowHeight="15"/>
  <cols>
    <col width="52.1953125" customWidth="1" min="2" max="2"/>
    <col width="40.7578125" customWidth="1" min="5" max="5"/>
    <col width="89.99609375" customWidth="1" min="7" max="7"/>
  </cols>
  <sheetData>
    <row r="1">
      <c r="A1" t="inlineStr">
        <is>
          <t>A</t>
        </is>
      </c>
      <c r="B1" t="inlineStr">
        <is>
          <t>Anwesend</t>
        </is>
      </c>
      <c r="E1" t="inlineStr">
        <is>
          <t>Anlagen- und Maschinenbau</t>
        </is>
      </c>
      <c r="G1" t="inlineStr">
        <is>
          <t>Konstruktion</t>
        </is>
      </c>
    </row>
    <row r="2">
      <c r="A2" t="inlineStr">
        <is>
          <t>K</t>
        </is>
      </c>
      <c r="B2" t="inlineStr">
        <is>
          <t>Krank (Abwesend)</t>
        </is>
      </c>
      <c r="E2" t="inlineStr">
        <is>
          <t>Automobil- und Fahrzeugbau</t>
        </is>
      </c>
      <c r="G2" t="inlineStr">
        <is>
          <t>Entwicklung und Forschung</t>
        </is>
      </c>
    </row>
    <row r="3">
      <c r="A3" t="inlineStr">
        <is>
          <t>U</t>
        </is>
      </c>
      <c r="B3" t="inlineStr">
        <is>
          <t>Urlaub (Abwesend)</t>
        </is>
      </c>
      <c r="E3" t="inlineStr">
        <is>
          <t>Bau</t>
        </is>
      </c>
      <c r="G3" t="inlineStr">
        <is>
          <t>Fertigung und Produktion</t>
        </is>
      </c>
    </row>
    <row r="4">
      <c r="A4" t="inlineStr">
        <is>
          <t>G</t>
        </is>
      </c>
      <c r="B4" t="inlineStr">
        <is>
          <t>Gleitzeit (Abwesend)</t>
        </is>
      </c>
      <c r="E4" t="inlineStr">
        <is>
          <t>Chemie</t>
        </is>
      </c>
      <c r="G4" t="inlineStr">
        <is>
          <t>Beratung und Planung</t>
        </is>
      </c>
    </row>
    <row r="5">
      <c r="A5" t="inlineStr">
        <is>
          <t>Ku</t>
        </is>
      </c>
      <c r="B5" t="inlineStr">
        <is>
          <t>Kurzarbeit (Abwesend)</t>
        </is>
      </c>
      <c r="E5" t="inlineStr">
        <is>
          <t>Dienstleistungen</t>
        </is>
      </c>
      <c r="G5" t="inlineStr">
        <is>
          <t>Qualitätsmanagement / -sicherung</t>
        </is>
      </c>
    </row>
    <row r="6">
      <c r="A6" t="inlineStr">
        <is>
          <t>B</t>
        </is>
      </c>
      <c r="B6" t="inlineStr">
        <is>
          <t>Betriebsschließung (Abwesend)</t>
        </is>
      </c>
      <c r="E6" t="inlineStr">
        <is>
          <t>Energie- und Umweltwirtschaft</t>
        </is>
      </c>
      <c r="G6" t="inlineStr">
        <is>
          <t>Verwaltung und Management</t>
        </is>
      </c>
    </row>
    <row r="7">
      <c r="A7" t="inlineStr">
        <is>
          <t>V</t>
        </is>
      </c>
      <c r="B7" t="inlineStr">
        <is>
          <t>Vorlesung und keine Anwesenheit im Betrieb</t>
        </is>
      </c>
      <c r="E7" t="inlineStr">
        <is>
          <t>Finanzen</t>
        </is>
      </c>
      <c r="G7" t="inlineStr">
        <is>
          <t>Compliance und Recht</t>
        </is>
      </c>
    </row>
    <row r="8">
      <c r="A8" t="inlineStr">
        <is>
          <t>VA</t>
        </is>
      </c>
      <c r="B8" t="inlineStr">
        <is>
          <t>Vorlesung und Anwesend im Betrieb</t>
        </is>
      </c>
      <c r="E8" t="inlineStr">
        <is>
          <t>Gesundheit, Medizin &amp; Pharma</t>
        </is>
      </c>
      <c r="G8" t="inlineStr">
        <is>
          <t>Einkauf und Beschaffung</t>
        </is>
      </c>
    </row>
    <row r="9">
      <c r="A9" t="inlineStr">
        <is>
          <t>F</t>
        </is>
      </c>
      <c r="B9" t="inlineStr">
        <is>
          <t>Feiertag</t>
        </is>
      </c>
      <c r="E9" t="inlineStr">
        <is>
          <t>Immobilien</t>
        </is>
      </c>
      <c r="G9" t="inlineStr">
        <is>
          <t>Informatik und Software</t>
        </is>
      </c>
    </row>
    <row r="10">
      <c r="E10" t="inlineStr">
        <is>
          <t>Industrielle Zulieferer</t>
        </is>
      </c>
      <c r="G10" t="inlineStr">
        <is>
          <t>Logistik und Transport</t>
        </is>
      </c>
    </row>
    <row r="11">
      <c r="E11" t="inlineStr">
        <is>
          <t>Informations- und Kommunikationstechnik</t>
        </is>
      </c>
      <c r="G11" t="inlineStr">
        <is>
          <t xml:space="preserve">Kundendienst </t>
        </is>
      </c>
    </row>
    <row r="12">
      <c r="E12" t="inlineStr">
        <is>
          <t>Handel &amp; Konsumgüter</t>
        </is>
      </c>
      <c r="G12" t="inlineStr">
        <is>
          <t>Marketing und Unternehmenskommunikation</t>
        </is>
      </c>
    </row>
    <row r="13">
      <c r="E13" t="inlineStr">
        <is>
          <t>Nahrung &amp; Genuss</t>
        </is>
      </c>
      <c r="G13" t="inlineStr">
        <is>
          <t>Operations</t>
        </is>
      </c>
    </row>
    <row r="14">
      <c r="E14" t="inlineStr">
        <is>
          <t>Technik</t>
        </is>
      </c>
      <c r="G14" t="inlineStr">
        <is>
          <t>Verkauf und Vertrieb</t>
        </is>
      </c>
    </row>
    <row r="15">
      <c r="E15" t="inlineStr">
        <is>
          <t>Textil &amp; Mode</t>
        </is>
      </c>
    </row>
    <row r="16">
      <c r="E16" t="inlineStr">
        <is>
          <t>Tourismus &amp; Freizeit</t>
        </is>
      </c>
    </row>
    <row r="17">
      <c r="E17" t="inlineStr">
        <is>
          <t>Transport &amp; Logistik</t>
        </is>
      </c>
    </row>
    <row r="18">
      <c r="E18" t="inlineStr">
        <is>
          <t>Werkstoffe &amp; Werkstoffverarbeitung</t>
        </is>
      </c>
    </row>
    <row r="19">
      <c r="E19" t="inlineStr">
        <is>
          <t>Wohnen &amp; Einrichtung</t>
        </is>
      </c>
    </row>
  </sheetData>
  <sheetProtection selectLockedCells="0" selectUnlockedCells="0" algorithmName="SHA-512" sheet="1" objects="1" insertRows="0" insertHyperlinks="0" autoFilter="0" scenarios="1" formatColumns="0" deleteColumns="0" insertColumns="0" pivotTables="0" deleteRows="0" formatCells="0" saltValue="W+m6xNJ4DXskuKbGFfdVXA==" formatRows="0" sort="0" spinCount="100000" hashValue="dcAS8GIcfNG1vDa8N4RNWClXSWM2s/ue0FnYXFHrbp2EJVHOjzYfudQ0fcFERv8oFFrbBzhOBW3nFnfYIgU8bQ=="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Houcine Hassine</dc:creator>
  <dc:title xmlns:dc="http://purl.org/dc/elements/1.1/">Tätigkeitsnachweis Praxissemester</dc:title>
  <dcterms:created xmlns:dcterms="http://purl.org/dc/terms/" xmlns:xsi="http://www.w3.org/2001/XMLSchema-instance" xsi:type="dcterms:W3CDTF">2020-10-13T12:59:14Z</dcterms:created>
  <dcterms:modified xmlns:dcterms="http://purl.org/dc/terms/" xmlns:xsi="http://www.w3.org/2001/XMLSchema-instance" xsi:type="dcterms:W3CDTF">2026-08-28T15:03:43Z</dcterms:modified>
  <cp:lastModifiedBy>Houcine Hassine</cp:lastModifiedBy>
</cp:coreProperties>
</file>

<file path=docProps/custom.xml><?xml version="1.0" encoding="utf-8"?>
<Properties xmlns="http://schemas.openxmlformats.org/officeDocument/2006/custom-properties">
  <property name="MSIP_Label_c2601314-b878-4900-a263-6d04f23371fa_Enabled" fmtid="{D5CDD505-2E9C-101B-9397-08002B2CF9AE}" pid="2">
    <vt:lpwstr xmlns:vt="http://schemas.openxmlformats.org/officeDocument/2006/docPropsVTypes">true</vt:lpwstr>
  </property>
  <property name="MSIP_Label_c2601314-b878-4900-a263-6d04f23371fa_SetDate" fmtid="{D5CDD505-2E9C-101B-9397-08002B2CF9AE}" pid="3">
    <vt:lpwstr xmlns:vt="http://schemas.openxmlformats.org/officeDocument/2006/docPropsVTypes">2023-02-09T10:41:14Z</vt:lpwstr>
  </property>
  <property name="MSIP_Label_c2601314-b878-4900-a263-6d04f23371fa_Method" fmtid="{D5CDD505-2E9C-101B-9397-08002B2CF9AE}" pid="4">
    <vt:lpwstr xmlns:vt="http://schemas.openxmlformats.org/officeDocument/2006/docPropsVTypes">Privileged</vt:lpwstr>
  </property>
  <property name="MSIP_Label_c2601314-b878-4900-a263-6d04f23371fa_Name" fmtid="{D5CDD505-2E9C-101B-9397-08002B2CF9AE}" pid="5">
    <vt:lpwstr xmlns:vt="http://schemas.openxmlformats.org/officeDocument/2006/docPropsVTypes">c2601314-b878-4900-a263-6d04f23371fa</vt:lpwstr>
  </property>
  <property name="MSIP_Label_c2601314-b878-4900-a263-6d04f23371fa_SiteId" fmtid="{D5CDD505-2E9C-101B-9397-08002B2CF9AE}" pid="6">
    <vt:lpwstr xmlns:vt="http://schemas.openxmlformats.org/officeDocument/2006/docPropsVTypes">ce849bab-cc1c-465b-b62e-18f07c9ac198</vt:lpwstr>
  </property>
  <property name="MSIP_Label_c2601314-b878-4900-a263-6d04f23371fa_ActionId" fmtid="{D5CDD505-2E9C-101B-9397-08002B2CF9AE}" pid="7">
    <vt:lpwstr xmlns:vt="http://schemas.openxmlformats.org/officeDocument/2006/docPropsVTypes">f47aae4b-ee42-451d-9cce-b8dfad5466e3</vt:lpwstr>
  </property>
  <property name="MSIP_Label_c2601314-b878-4900-a263-6d04f23371fa_ContentBits" fmtid="{D5CDD505-2E9C-101B-9397-08002B2CF9AE}" pid="8">
    <vt:lpwstr xmlns:vt="http://schemas.openxmlformats.org/officeDocument/2006/docPropsVTypes">0</vt:lpwstr>
  </property>
</Properties>
</file>