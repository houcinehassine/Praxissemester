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chenübersicht" sheetId="1" state="visible" r:id="rId1"/>
    <sheet xmlns:r="http://schemas.openxmlformats.org/officeDocument/2006/relationships" name="März" sheetId="2" state="visible" r:id="rId2"/>
    <sheet xmlns:r="http://schemas.openxmlformats.org/officeDocument/2006/relationships" name="April" sheetId="3" state="visible" r:id="rId3"/>
    <sheet xmlns:r="http://schemas.openxmlformats.org/officeDocument/2006/relationships" name="Mai" sheetId="4" state="visible" r:id="rId4"/>
    <sheet xmlns:r="http://schemas.openxmlformats.org/officeDocument/2006/relationships" name="Juni" sheetId="5" state="visible" r:id="rId5"/>
    <sheet xmlns:r="http://schemas.openxmlformats.org/officeDocument/2006/relationships" name="Juli" sheetId="6" state="visible" r:id="rId6"/>
  </sheets>
  <definedNames>
    <definedName name="_xlnm.Print_Area" localSheetId="0">'Wochenübersicht'!$A$1:$G$29</definedName>
    <definedName name="_xlnm.Print_Area" localSheetId="1">'März'!$A$1:$G$44</definedName>
    <definedName name="_xlnm.Print_Area" localSheetId="2">'April'!$A$1:$G$43</definedName>
    <definedName name="_xlnm.Print_Area" localSheetId="3">'Mai'!$A$1:$G$43</definedName>
    <definedName name="_xlnm.Print_Area" localSheetId="4">'Juni'!$A$1:$G$43</definedName>
    <definedName name="_xlnm.Print_Area" localSheetId="5">'Juli'!$A$1:$G$44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HH:MM"/>
    <numFmt numFmtId="167" formatCode="+0.00;-0.00;0.00"/>
  </numFmts>
  <fonts count="13">
    <font>
      <name val="Calibri"/>
      <family val="2"/>
      <color theme="1"/>
      <sz val="11"/>
      <scheme val="minor"/>
    </font>
    <font>
      <name val="Arial"/>
      <b val="1"/>
      <color rgb="001F3A52"/>
      <sz val="14"/>
    </font>
    <font>
      <name val="Arial"/>
      <b val="1"/>
      <sz val="11"/>
    </font>
    <font>
      <name val="Arial"/>
      <sz val="9"/>
    </font>
    <font>
      <name val="Arial"/>
      <b val="1"/>
      <color rgb="00FFFFFF"/>
      <sz val="9"/>
    </font>
    <font>
      <name val="Arial"/>
      <b val="1"/>
      <color rgb="001F3A52"/>
      <sz val="9"/>
    </font>
    <font>
      <name val="Arial"/>
      <i val="1"/>
      <color rgb="008A6516"/>
      <sz val="8"/>
    </font>
    <font>
      <name val="Arial"/>
      <b val="1"/>
      <sz val="10"/>
    </font>
    <font>
      <name val="Arial"/>
      <b val="1"/>
      <color rgb="001F3A52"/>
      <sz val="10"/>
    </font>
    <font>
      <name val="Arial"/>
      <i val="1"/>
      <sz val="9"/>
    </font>
    <font>
      <name val="Arial"/>
      <color rgb="00595959"/>
      <sz val="8"/>
    </font>
    <font>
      <name val="Arial"/>
      <b val="1"/>
      <sz val="9"/>
    </font>
    <font>
      <name val="Arial"/>
      <i val="1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1F3A52"/>
      </patternFill>
    </fill>
    <fill>
      <patternFill patternType="solid">
        <fgColor rgb="00F0F2F4"/>
      </patternFill>
    </fill>
    <fill>
      <patternFill patternType="solid">
        <fgColor rgb="00E6EDF4"/>
      </patternFill>
    </fill>
    <fill>
      <patternFill patternType="solid">
        <fgColor rgb="00FBF3E2"/>
      </patternFill>
    </fill>
  </fills>
  <borders count="4">
    <border>
      <left/>
      <right/>
      <top/>
      <bottom/>
      <diagonal/>
    </border>
    <border>
      <left style="thin">
        <color rgb="009AA3AB"/>
      </left>
      <right style="thin">
        <color rgb="009AA3AB"/>
      </right>
      <top style="medium">
        <color rgb="001F3A52"/>
      </top>
      <bottom style="medium">
        <color rgb="001F3A52"/>
      </bottom>
    </border>
    <border>
      <left style="thin">
        <color rgb="009AA3AB"/>
      </left>
      <right style="thin">
        <color rgb="009AA3AB"/>
      </right>
      <top style="thin">
        <color rgb="009AA3AB"/>
      </top>
      <bottom style="thin">
        <color rgb="009AA3AB"/>
      </bottom>
    </border>
    <border>
      <bottom style="thin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2" fontId="3" fillId="0" borderId="2" applyAlignment="1" pivotButton="0" quotePrefix="0" xfId="0">
      <alignment horizontal="center"/>
    </xf>
    <xf numFmtId="167" fontId="3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1" fontId="8" fillId="0" borderId="1" applyAlignment="1" pivotButton="0" quotePrefix="0" xfId="0">
      <alignment horizontal="center"/>
    </xf>
    <xf numFmtId="2" fontId="8" fillId="0" borderId="1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3" fillId="3" borderId="2" applyAlignment="1" pivotButton="0" quotePrefix="0" xfId="0">
      <alignment horizontal="center"/>
    </xf>
    <xf numFmtId="165" fontId="3" fillId="3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165" fontId="3" fillId="0" borderId="2" applyAlignment="1" pivotButton="0" quotePrefix="0" xfId="0">
      <alignment horizontal="center"/>
    </xf>
    <xf numFmtId="166" fontId="3" fillId="0" borderId="2" applyAlignment="1" pivotButton="0" quotePrefix="0" xfId="0">
      <alignment horizontal="center"/>
    </xf>
    <xf numFmtId="0" fontId="0" fillId="4" borderId="2" pivotButton="0" quotePrefix="0" xfId="0"/>
    <xf numFmtId="0" fontId="5" fillId="4" borderId="2" applyAlignment="1" pivotButton="0" quotePrefix="0" xfId="0">
      <alignment horizontal="right"/>
    </xf>
    <xf numFmtId="2" fontId="5" fillId="4" borderId="2" applyAlignment="1" pivotButton="0" quotePrefix="0" xfId="0">
      <alignment horizontal="center"/>
    </xf>
    <xf numFmtId="0" fontId="3" fillId="5" borderId="2" applyAlignment="1" pivotButton="0" quotePrefix="0" xfId="0">
      <alignment horizontal="center"/>
    </xf>
    <xf numFmtId="165" fontId="3" fillId="5" borderId="2" applyAlignment="1" pivotButton="0" quotePrefix="0" xfId="0">
      <alignment horizontal="center"/>
    </xf>
    <xf numFmtId="0" fontId="3" fillId="5" borderId="2" applyAlignment="1" pivotButton="0" quotePrefix="0" xfId="0">
      <alignment horizontal="left"/>
    </xf>
    <xf numFmtId="0" fontId="6" fillId="4" borderId="2" pivotButton="0" quotePrefix="0" xfId="0"/>
    <xf numFmtId="0" fontId="9" fillId="0" borderId="0" pivotButton="0" quotePrefix="0" xfId="0"/>
    <xf numFmtId="0" fontId="0" fillId="0" borderId="3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2" customWidth="1" min="3" max="3"/>
    <col width="12" customWidth="1" min="4" max="4"/>
    <col width="12" customWidth="1" min="5" max="5"/>
    <col width="13" customWidth="1" min="6" max="6"/>
    <col width="16" customWidth="1" min="7" max="7"/>
  </cols>
  <sheetData>
    <row r="1" ht="20" customHeight="1">
      <c r="A1" s="1" t="inlineStr">
        <is>
          <t>Wochenübersicht Praxissemester</t>
        </is>
      </c>
      <c r="D1" s="2" t="inlineStr">
        <is>
          <t>Houcine Hassine · Matrikelnummer 3399727</t>
        </is>
      </c>
    </row>
    <row r="2">
      <c r="A2" s="3" t="inlineStr">
        <is>
          <t>02.03. – 31.07.2026</t>
        </is>
      </c>
    </row>
    <row r="4" ht="20" customHeight="1">
      <c r="A4" s="4" t="inlineStr">
        <is>
          <t>KW</t>
        </is>
      </c>
      <c r="B4" s="4" t="inlineStr">
        <is>
          <t>Zeitraum</t>
        </is>
      </c>
      <c r="C4" s="4" t="inlineStr">
        <is>
          <t>Arbeitstage</t>
        </is>
      </c>
      <c r="D4" s="4" t="inlineStr">
        <is>
          <t>Std netto</t>
        </is>
      </c>
      <c r="E4" s="4" t="inlineStr">
        <is>
          <t>Soll</t>
        </is>
      </c>
      <c r="F4" s="4" t="inlineStr">
        <is>
          <t>Differenz</t>
        </is>
      </c>
      <c r="G4" s="4" t="inlineStr">
        <is>
          <t>kumuliert</t>
        </is>
      </c>
    </row>
    <row r="5">
      <c r="A5" s="5" t="inlineStr">
        <is>
          <t>KW 10</t>
        </is>
      </c>
      <c r="B5" s="6" t="inlineStr">
        <is>
          <t>02.03. – 06.03.2026</t>
        </is>
      </c>
      <c r="C5" s="5" t="n">
        <v>5</v>
      </c>
      <c r="D5" s="7" t="n">
        <v>47.75</v>
      </c>
      <c r="E5" s="7" t="n">
        <v>38</v>
      </c>
      <c r="F5" s="8">
        <f>D5-E5</f>
        <v/>
      </c>
      <c r="G5" s="7">
        <f>SUM($D$5:D5)</f>
        <v/>
      </c>
    </row>
    <row r="6">
      <c r="A6" s="5" t="inlineStr">
        <is>
          <t>KW 11</t>
        </is>
      </c>
      <c r="B6" s="6" t="inlineStr">
        <is>
          <t>09.03. – 13.03.2026</t>
        </is>
      </c>
      <c r="C6" s="5" t="n">
        <v>5</v>
      </c>
      <c r="D6" s="7" t="n">
        <v>47.25</v>
      </c>
      <c r="E6" s="7" t="n">
        <v>38</v>
      </c>
      <c r="F6" s="8">
        <f>D6-E6</f>
        <v/>
      </c>
      <c r="G6" s="7">
        <f>G5+D6</f>
        <v/>
      </c>
    </row>
    <row r="7">
      <c r="A7" s="5" t="inlineStr">
        <is>
          <t>KW 12</t>
        </is>
      </c>
      <c r="B7" s="6" t="inlineStr">
        <is>
          <t>16.03. – 19.03.2026</t>
        </is>
      </c>
      <c r="C7" s="5" t="n">
        <v>4</v>
      </c>
      <c r="D7" s="7" t="n">
        <v>34.25</v>
      </c>
      <c r="E7" s="7" t="n">
        <v>30.5</v>
      </c>
      <c r="F7" s="8">
        <f>D7-E7</f>
        <v/>
      </c>
      <c r="G7" s="7">
        <f>G6+D7</f>
        <v/>
      </c>
    </row>
    <row r="8">
      <c r="A8" s="5" t="inlineStr">
        <is>
          <t>KW 13</t>
        </is>
      </c>
      <c r="B8" s="6" t="inlineStr">
        <is>
          <t>23.03. – 27.03.2026</t>
        </is>
      </c>
      <c r="C8" s="5" t="n">
        <v>5</v>
      </c>
      <c r="D8" s="7" t="n">
        <v>42.75</v>
      </c>
      <c r="E8" s="7" t="n">
        <v>38</v>
      </c>
      <c r="F8" s="8">
        <f>D8-E8</f>
        <v/>
      </c>
      <c r="G8" s="7">
        <f>G7+D8</f>
        <v/>
      </c>
    </row>
    <row r="9">
      <c r="A9" s="5" t="inlineStr">
        <is>
          <t>KW 14</t>
        </is>
      </c>
      <c r="B9" s="6" t="inlineStr">
        <is>
          <t>30.03. – 02.04.2026</t>
        </is>
      </c>
      <c r="C9" s="5" t="n">
        <v>4</v>
      </c>
      <c r="D9" s="7" t="n">
        <v>35.75</v>
      </c>
      <c r="E9" s="7" t="n">
        <v>30.5</v>
      </c>
      <c r="F9" s="8">
        <f>D9-E9</f>
        <v/>
      </c>
      <c r="G9" s="7">
        <f>G8+D9</f>
        <v/>
      </c>
    </row>
    <row r="10">
      <c r="A10" s="5" t="inlineStr">
        <is>
          <t>KW 15</t>
        </is>
      </c>
      <c r="B10" s="6" t="inlineStr">
        <is>
          <t>07.04. – 10.04.2026</t>
        </is>
      </c>
      <c r="C10" s="5" t="n">
        <v>4</v>
      </c>
      <c r="D10" s="7" t="n">
        <v>33.75</v>
      </c>
      <c r="E10" s="7" t="n">
        <v>30.5</v>
      </c>
      <c r="F10" s="8">
        <f>D10-E10</f>
        <v/>
      </c>
      <c r="G10" s="7">
        <f>G9+D10</f>
        <v/>
      </c>
    </row>
    <row r="11">
      <c r="A11" s="5" t="inlineStr">
        <is>
          <t>KW 16</t>
        </is>
      </c>
      <c r="B11" s="6" t="inlineStr">
        <is>
          <t>13.04. – 17.04.2026</t>
        </is>
      </c>
      <c r="C11" s="5" t="n">
        <v>5</v>
      </c>
      <c r="D11" s="7" t="n">
        <v>44.25</v>
      </c>
      <c r="E11" s="7" t="n">
        <v>38</v>
      </c>
      <c r="F11" s="8">
        <f>D11-E11</f>
        <v/>
      </c>
      <c r="G11" s="7">
        <f>G10+D11</f>
        <v/>
      </c>
    </row>
    <row r="12">
      <c r="A12" s="5" t="inlineStr">
        <is>
          <t>KW 17</t>
        </is>
      </c>
      <c r="B12" s="6" t="inlineStr">
        <is>
          <t>20.04. – 24.04.2026</t>
        </is>
      </c>
      <c r="C12" s="5" t="n">
        <v>5</v>
      </c>
      <c r="D12" s="7" t="n">
        <v>44.75</v>
      </c>
      <c r="E12" s="7" t="n">
        <v>38</v>
      </c>
      <c r="F12" s="8">
        <f>D12-E12</f>
        <v/>
      </c>
      <c r="G12" s="7">
        <f>G11+D12</f>
        <v/>
      </c>
    </row>
    <row r="13">
      <c r="A13" s="5" t="inlineStr">
        <is>
          <t>KW 18</t>
        </is>
      </c>
      <c r="B13" s="6" t="inlineStr">
        <is>
          <t>27.04. – 30.04.2026</t>
        </is>
      </c>
      <c r="C13" s="5" t="n">
        <v>4</v>
      </c>
      <c r="D13" s="7" t="n">
        <v>34.75</v>
      </c>
      <c r="E13" s="7" t="n">
        <v>30.5</v>
      </c>
      <c r="F13" s="8">
        <f>D13-E13</f>
        <v/>
      </c>
      <c r="G13" s="7">
        <f>G12+D13</f>
        <v/>
      </c>
    </row>
    <row r="14">
      <c r="A14" s="5" t="inlineStr">
        <is>
          <t>KW 19</t>
        </is>
      </c>
      <c r="B14" s="6" t="inlineStr">
        <is>
          <t>04.05. – 08.05.2026</t>
        </is>
      </c>
      <c r="C14" s="5" t="n">
        <v>5</v>
      </c>
      <c r="D14" s="7" t="n">
        <v>45</v>
      </c>
      <c r="E14" s="7" t="n">
        <v>38</v>
      </c>
      <c r="F14" s="8">
        <f>D14-E14</f>
        <v/>
      </c>
      <c r="G14" s="7">
        <f>G13+D14</f>
        <v/>
      </c>
    </row>
    <row r="15">
      <c r="A15" s="5" t="inlineStr">
        <is>
          <t>KW 20</t>
        </is>
      </c>
      <c r="B15" s="6" t="inlineStr">
        <is>
          <t>11.05. – 15.05.2026</t>
        </is>
      </c>
      <c r="C15" s="5" t="n">
        <v>4</v>
      </c>
      <c r="D15" s="7" t="n">
        <v>33.75</v>
      </c>
      <c r="E15" s="7" t="n">
        <v>30.5</v>
      </c>
      <c r="F15" s="8">
        <f>D15-E15</f>
        <v/>
      </c>
      <c r="G15" s="7">
        <f>G14+D15</f>
        <v/>
      </c>
    </row>
    <row r="16">
      <c r="A16" s="5" t="inlineStr">
        <is>
          <t>KW 21</t>
        </is>
      </c>
      <c r="B16" s="6" t="inlineStr">
        <is>
          <t>18.05. – 22.05.2026</t>
        </is>
      </c>
      <c r="C16" s="5" t="n">
        <v>5</v>
      </c>
      <c r="D16" s="7" t="n">
        <v>45</v>
      </c>
      <c r="E16" s="7" t="n">
        <v>38</v>
      </c>
      <c r="F16" s="8">
        <f>D16-E16</f>
        <v/>
      </c>
      <c r="G16" s="7">
        <f>G15+D16</f>
        <v/>
      </c>
    </row>
    <row r="17">
      <c r="A17" s="5" t="inlineStr">
        <is>
          <t>KW 22</t>
        </is>
      </c>
      <c r="B17" s="6" t="inlineStr">
        <is>
          <t>26.05. – 29.05.2026</t>
        </is>
      </c>
      <c r="C17" s="5" t="n">
        <v>4</v>
      </c>
      <c r="D17" s="7" t="n">
        <v>34.75</v>
      </c>
      <c r="E17" s="7" t="n">
        <v>30.5</v>
      </c>
      <c r="F17" s="8">
        <f>D17-E17</f>
        <v/>
      </c>
      <c r="G17" s="7">
        <f>G16+D17</f>
        <v/>
      </c>
    </row>
    <row r="18">
      <c r="A18" s="5" t="inlineStr">
        <is>
          <t>KW 23</t>
        </is>
      </c>
      <c r="B18" s="6" t="inlineStr">
        <is>
          <t>01.06. – 05.06.2026</t>
        </is>
      </c>
      <c r="C18" s="5" t="n">
        <v>4</v>
      </c>
      <c r="D18" s="7" t="n">
        <v>29</v>
      </c>
      <c r="E18" s="7" t="n">
        <v>30.5</v>
      </c>
      <c r="F18" s="8">
        <f>D18-E18</f>
        <v/>
      </c>
      <c r="G18" s="7">
        <f>G17+D18</f>
        <v/>
      </c>
    </row>
    <row r="19">
      <c r="A19" s="5" t="inlineStr">
        <is>
          <t>KW 24</t>
        </is>
      </c>
      <c r="B19" s="6" t="inlineStr">
        <is>
          <t>08.06. – 12.06.2026</t>
        </is>
      </c>
      <c r="C19" s="5" t="n">
        <v>5</v>
      </c>
      <c r="D19" s="7" t="n">
        <v>35.75</v>
      </c>
      <c r="E19" s="7" t="n">
        <v>38</v>
      </c>
      <c r="F19" s="8">
        <f>D19-E19</f>
        <v/>
      </c>
      <c r="G19" s="7">
        <f>G18+D19</f>
        <v/>
      </c>
    </row>
    <row r="20">
      <c r="A20" s="5" t="inlineStr">
        <is>
          <t>KW 25</t>
        </is>
      </c>
      <c r="B20" s="6" t="inlineStr">
        <is>
          <t>15.06. – 19.06.2026</t>
        </is>
      </c>
      <c r="C20" s="5" t="n">
        <v>5</v>
      </c>
      <c r="D20" s="7" t="n">
        <v>37</v>
      </c>
      <c r="E20" s="7" t="n">
        <v>38</v>
      </c>
      <c r="F20" s="8">
        <f>D20-E20</f>
        <v/>
      </c>
      <c r="G20" s="7">
        <f>G19+D20</f>
        <v/>
      </c>
    </row>
    <row r="21">
      <c r="A21" s="5" t="inlineStr">
        <is>
          <t>KW 26</t>
        </is>
      </c>
      <c r="B21" s="6" t="inlineStr">
        <is>
          <t>22.06. – 26.06.2026</t>
        </is>
      </c>
      <c r="C21" s="5" t="n">
        <v>5</v>
      </c>
      <c r="D21" s="7" t="n">
        <v>37</v>
      </c>
      <c r="E21" s="7" t="n">
        <v>38</v>
      </c>
      <c r="F21" s="8">
        <f>D21-E21</f>
        <v/>
      </c>
      <c r="G21" s="7">
        <f>G20+D21</f>
        <v/>
      </c>
    </row>
    <row r="22">
      <c r="A22" s="5" t="inlineStr">
        <is>
          <t>KW 27</t>
        </is>
      </c>
      <c r="B22" s="6" t="inlineStr">
        <is>
          <t>29.06. – 02.07.2026</t>
        </is>
      </c>
      <c r="C22" s="5" t="n">
        <v>4</v>
      </c>
      <c r="D22" s="7" t="n">
        <v>27.25</v>
      </c>
      <c r="E22" s="7" t="n">
        <v>30.5</v>
      </c>
      <c r="F22" s="8">
        <f>D22-E22</f>
        <v/>
      </c>
      <c r="G22" s="7">
        <f>G21+D22</f>
        <v/>
      </c>
    </row>
    <row r="23">
      <c r="A23" s="5" t="inlineStr">
        <is>
          <t>KW 28</t>
        </is>
      </c>
      <c r="B23" s="6" t="inlineStr">
        <is>
          <t>06.07. – 10.07.2026</t>
        </is>
      </c>
      <c r="C23" s="5" t="n">
        <v>5</v>
      </c>
      <c r="D23" s="7" t="n">
        <v>33.75</v>
      </c>
      <c r="E23" s="7" t="n">
        <v>38</v>
      </c>
      <c r="F23" s="8">
        <f>D23-E23</f>
        <v/>
      </c>
      <c r="G23" s="7">
        <f>G22+D23</f>
        <v/>
      </c>
    </row>
    <row r="24">
      <c r="A24" s="5" t="inlineStr">
        <is>
          <t>KW 29</t>
        </is>
      </c>
      <c r="B24" s="6" t="inlineStr">
        <is>
          <t>13.07. – 17.07.2026</t>
        </is>
      </c>
      <c r="C24" s="5" t="n">
        <v>5</v>
      </c>
      <c r="D24" s="7" t="n">
        <v>34</v>
      </c>
      <c r="E24" s="7" t="n">
        <v>38</v>
      </c>
      <c r="F24" s="8">
        <f>D24-E24</f>
        <v/>
      </c>
      <c r="G24" s="7">
        <f>G23+D24</f>
        <v/>
      </c>
    </row>
    <row r="25">
      <c r="A25" s="5" t="inlineStr">
        <is>
          <t>KW 30</t>
        </is>
      </c>
      <c r="B25" s="6" t="inlineStr">
        <is>
          <t>20.07. – 24.07.2026</t>
        </is>
      </c>
      <c r="C25" s="5" t="n">
        <v>5</v>
      </c>
      <c r="D25" s="7" t="n">
        <v>33.5</v>
      </c>
      <c r="E25" s="7" t="n">
        <v>38</v>
      </c>
      <c r="F25" s="8">
        <f>D25-E25</f>
        <v/>
      </c>
      <c r="G25" s="7">
        <f>G24+D25</f>
        <v/>
      </c>
    </row>
    <row r="26">
      <c r="A26" s="5" t="inlineStr">
        <is>
          <t>KW 31</t>
        </is>
      </c>
      <c r="B26" s="6" t="inlineStr">
        <is>
          <t>27.07. – 31.07.2026</t>
        </is>
      </c>
      <c r="C26" s="5" t="n">
        <v>5</v>
      </c>
      <c r="D26" s="7" t="n">
        <v>33.75</v>
      </c>
      <c r="E26" s="7" t="n">
        <v>38</v>
      </c>
      <c r="F26" s="8">
        <f>D26-E26</f>
        <v/>
      </c>
      <c r="G26" s="7">
        <f>G25+D26</f>
        <v/>
      </c>
    </row>
    <row r="27">
      <c r="B27" s="9" t="inlineStr">
        <is>
          <t>Gesamt</t>
        </is>
      </c>
      <c r="C27" s="10">
        <f>SUM(C5:C26)</f>
        <v/>
      </c>
      <c r="D27" s="11">
        <f>SUM(D5:D26)</f>
        <v/>
      </c>
      <c r="E27" s="11">
        <f>SUM(E5:E26)</f>
        <v/>
      </c>
      <c r="G27" s="12">
        <f>D27/22</f>
        <v/>
      </c>
    </row>
    <row r="28">
      <c r="G28" s="13" t="inlineStr">
        <is>
          <t>Ø je Woche</t>
        </is>
      </c>
    </row>
    <row r="29">
      <c r="B29" s="14" t="inlineStr">
        <is>
          <t>Wochen über einen Monatswechsel sind hier vollständig zusammengefasst; in den Monatsblättern erscheinen sie anteilig.</t>
        </is>
      </c>
    </row>
  </sheetData>
  <mergeCells count="2">
    <mergeCell ref="A1:C1"/>
    <mergeCell ref="D1:G1"/>
  </mergeCells>
  <pageMargins left="0.5" right="0.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1" customWidth="1" min="3" max="3"/>
    <col width="11" customWidth="1" min="4" max="4"/>
    <col width="10" customWidth="1" min="5" max="5"/>
    <col width="12" customWidth="1" min="6" max="6"/>
    <col width="34" customWidth="1" min="7" max="7"/>
  </cols>
  <sheetData>
    <row r="1" ht="20" customHeight="1">
      <c r="A1" s="1" t="inlineStr">
        <is>
          <t>Zeiterfassung Praxissemester</t>
        </is>
      </c>
      <c r="D1" s="2" t="inlineStr">
        <is>
          <t>Houcine Hassine · Matrikelnummer 3399727</t>
        </is>
      </c>
    </row>
    <row r="2">
      <c r="A2" s="3" t="inlineStr">
        <is>
          <t>März 2026</t>
        </is>
      </c>
      <c r="D2" s="2" t="inlineStr">
        <is>
          <t>Mechanische Werkstätte Schmidt e.K., Essing</t>
        </is>
      </c>
    </row>
    <row r="4" ht="20" customHeight="1">
      <c r="A4" s="4" t="inlineStr">
        <is>
          <t>Tag</t>
        </is>
      </c>
      <c r="B4" s="4" t="inlineStr">
        <is>
          <t>Datum</t>
        </is>
      </c>
      <c r="C4" s="4" t="inlineStr">
        <is>
          <t>Beginn</t>
        </is>
      </c>
      <c r="D4" s="4" t="inlineStr">
        <is>
          <t>Ende</t>
        </is>
      </c>
      <c r="E4" s="4" t="inlineStr">
        <is>
          <t>Pause</t>
        </is>
      </c>
      <c r="F4" s="4" t="inlineStr">
        <is>
          <t>Std netto</t>
        </is>
      </c>
      <c r="G4" s="4" t="inlineStr">
        <is>
          <t>Bemerkung</t>
        </is>
      </c>
    </row>
    <row r="5">
      <c r="A5" s="15" t="inlineStr">
        <is>
          <t>So</t>
        </is>
      </c>
      <c r="B5" s="16" t="n">
        <v>46082</v>
      </c>
      <c r="C5" s="15" t="n"/>
      <c r="D5" s="15" t="n"/>
      <c r="E5" s="15" t="n"/>
      <c r="F5" s="15" t="n"/>
      <c r="G5" s="17" t="inlineStr">
        <is>
          <t>Wochenende</t>
        </is>
      </c>
    </row>
    <row r="6">
      <c r="A6" s="5" t="inlineStr">
        <is>
          <t>Mo</t>
        </is>
      </c>
      <c r="B6" s="18" t="n">
        <v>46083</v>
      </c>
      <c r="C6" s="19" t="n">
        <v>0.2916666666666667</v>
      </c>
      <c r="D6" s="19" t="n">
        <v>0.7395833333333334</v>
      </c>
      <c r="E6" s="19" t="n">
        <v>0.03125</v>
      </c>
      <c r="F6" s="7">
        <f>(D6-C6-E6)*24</f>
        <v/>
      </c>
      <c r="G6" s="6" t="inlineStr"/>
    </row>
    <row r="7">
      <c r="A7" s="5" t="inlineStr">
        <is>
          <t>Di</t>
        </is>
      </c>
      <c r="B7" s="18" t="n">
        <v>46084</v>
      </c>
      <c r="C7" s="19" t="n">
        <v>0.3020833333333333</v>
      </c>
      <c r="D7" s="19" t="n">
        <v>0.6979166666666666</v>
      </c>
      <c r="E7" s="19" t="n">
        <v>0.02083333333333333</v>
      </c>
      <c r="F7" s="7">
        <f>(D7-C7-E7)*24</f>
        <v/>
      </c>
      <c r="G7" s="6" t="inlineStr"/>
    </row>
    <row r="8">
      <c r="A8" s="5" t="inlineStr">
        <is>
          <t>Mi</t>
        </is>
      </c>
      <c r="B8" s="18" t="n">
        <v>46085</v>
      </c>
      <c r="C8" s="19" t="n">
        <v>0.2951388888888889</v>
      </c>
      <c r="D8" s="19" t="n">
        <v>0.7118055555555556</v>
      </c>
      <c r="E8" s="19" t="n">
        <v>0.03125</v>
      </c>
      <c r="F8" s="7">
        <f>(D8-C8-E8)*24</f>
        <v/>
      </c>
      <c r="G8" s="6" t="inlineStr"/>
    </row>
    <row r="9">
      <c r="A9" s="5" t="inlineStr">
        <is>
          <t>Do</t>
        </is>
      </c>
      <c r="B9" s="18" t="n">
        <v>46086</v>
      </c>
      <c r="C9" s="19" t="n">
        <v>0.3055555555555556</v>
      </c>
      <c r="D9" s="19" t="n">
        <v>0.7430555555555556</v>
      </c>
      <c r="E9" s="19" t="n">
        <v>0.03125</v>
      </c>
      <c r="F9" s="7">
        <f>(D9-C9-E9)*24</f>
        <v/>
      </c>
      <c r="G9" s="6" t="inlineStr"/>
    </row>
    <row r="10">
      <c r="A10" s="5" t="inlineStr">
        <is>
          <t>Fr</t>
        </is>
      </c>
      <c r="B10" s="18" t="n">
        <v>46087</v>
      </c>
      <c r="C10" s="19" t="n">
        <v>0.2986111111111111</v>
      </c>
      <c r="D10" s="19" t="n">
        <v>0.7361111111111112</v>
      </c>
      <c r="E10" s="19" t="n">
        <v>0.03125</v>
      </c>
      <c r="F10" s="7">
        <f>(D10-C10-E10)*24</f>
        <v/>
      </c>
      <c r="G10" s="6" t="inlineStr"/>
    </row>
    <row r="11">
      <c r="A11" s="15" t="inlineStr">
        <is>
          <t>Sa</t>
        </is>
      </c>
      <c r="B11" s="16" t="n">
        <v>46088</v>
      </c>
      <c r="C11" s="15" t="n"/>
      <c r="D11" s="15" t="n"/>
      <c r="E11" s="15" t="n"/>
      <c r="F11" s="15" t="n"/>
      <c r="G11" s="17" t="inlineStr">
        <is>
          <t>Wochenende</t>
        </is>
      </c>
    </row>
    <row r="12">
      <c r="A12" s="15" t="inlineStr">
        <is>
          <t>So</t>
        </is>
      </c>
      <c r="B12" s="16" t="n">
        <v>46089</v>
      </c>
      <c r="C12" s="15" t="n"/>
      <c r="D12" s="15" t="n"/>
      <c r="E12" s="15" t="n"/>
      <c r="F12" s="15" t="n"/>
      <c r="G12" s="17" t="inlineStr">
        <is>
          <t>Wochenende</t>
        </is>
      </c>
    </row>
    <row r="13">
      <c r="A13" s="20" t="n"/>
      <c r="B13" s="20" t="n"/>
      <c r="C13" s="20" t="n"/>
      <c r="D13" s="20" t="n"/>
      <c r="E13" s="21" t="inlineStr">
        <is>
          <t>Summe KW 10</t>
        </is>
      </c>
      <c r="F13" s="22">
        <f>SUM(F6:F12)</f>
        <v/>
      </c>
      <c r="G13" s="20" t="n"/>
    </row>
    <row r="14">
      <c r="A14" s="5" t="inlineStr">
        <is>
          <t>Mo</t>
        </is>
      </c>
      <c r="B14" s="18" t="n">
        <v>46090</v>
      </c>
      <c r="C14" s="19" t="n">
        <v>0.3125</v>
      </c>
      <c r="D14" s="19" t="n">
        <v>0.7291666666666666</v>
      </c>
      <c r="E14" s="19" t="n">
        <v>0.03125</v>
      </c>
      <c r="F14" s="7">
        <f>(D14-C14-E14)*24</f>
        <v/>
      </c>
      <c r="G14" s="6" t="inlineStr"/>
    </row>
    <row r="15">
      <c r="A15" s="5" t="inlineStr">
        <is>
          <t>Di</t>
        </is>
      </c>
      <c r="B15" s="18" t="n">
        <v>46091</v>
      </c>
      <c r="C15" s="19" t="n">
        <v>0.2951388888888889</v>
      </c>
      <c r="D15" s="19" t="n">
        <v>0.6909722222222222</v>
      </c>
      <c r="E15" s="19" t="n">
        <v>0.02083333333333333</v>
      </c>
      <c r="F15" s="7">
        <f>(D15-C15-E15)*24</f>
        <v/>
      </c>
      <c r="G15" s="6" t="inlineStr"/>
    </row>
    <row r="16">
      <c r="A16" s="5" t="inlineStr">
        <is>
          <t>Mi</t>
        </is>
      </c>
      <c r="B16" s="18" t="n">
        <v>46092</v>
      </c>
      <c r="C16" s="19" t="n">
        <v>0.3020833333333333</v>
      </c>
      <c r="D16" s="19" t="n">
        <v>0.75</v>
      </c>
      <c r="E16" s="19" t="n">
        <v>0.03125</v>
      </c>
      <c r="F16" s="7">
        <f>(D16-C16-E16)*24</f>
        <v/>
      </c>
      <c r="G16" s="6" t="inlineStr"/>
    </row>
    <row r="17">
      <c r="A17" s="5" t="inlineStr">
        <is>
          <t>Do</t>
        </is>
      </c>
      <c r="B17" s="18" t="n">
        <v>46093</v>
      </c>
      <c r="C17" s="19" t="n">
        <v>0.2916666666666667</v>
      </c>
      <c r="D17" s="19" t="n">
        <v>0.71875</v>
      </c>
      <c r="E17" s="19" t="n">
        <v>0.03125</v>
      </c>
      <c r="F17" s="7">
        <f>(D17-C17-E17)*24</f>
        <v/>
      </c>
      <c r="G17" s="6" t="inlineStr"/>
    </row>
    <row r="18">
      <c r="A18" s="5" t="inlineStr">
        <is>
          <t>Fr</t>
        </is>
      </c>
      <c r="B18" s="18" t="n">
        <v>46094</v>
      </c>
      <c r="C18" s="19" t="n">
        <v>0.3020833333333333</v>
      </c>
      <c r="D18" s="19" t="n">
        <v>0.7291666666666666</v>
      </c>
      <c r="E18" s="19" t="n">
        <v>0.03125</v>
      </c>
      <c r="F18" s="7">
        <f>(D18-C18-E18)*24</f>
        <v/>
      </c>
      <c r="G18" s="6" t="inlineStr"/>
    </row>
    <row r="19">
      <c r="A19" s="15" t="inlineStr">
        <is>
          <t>Sa</t>
        </is>
      </c>
      <c r="B19" s="16" t="n">
        <v>46095</v>
      </c>
      <c r="C19" s="15" t="n"/>
      <c r="D19" s="15" t="n"/>
      <c r="E19" s="15" t="n"/>
      <c r="F19" s="15" t="n"/>
      <c r="G19" s="17" t="inlineStr">
        <is>
          <t>Wochenende</t>
        </is>
      </c>
    </row>
    <row r="20">
      <c r="A20" s="15" t="inlineStr">
        <is>
          <t>So</t>
        </is>
      </c>
      <c r="B20" s="16" t="n">
        <v>46096</v>
      </c>
      <c r="C20" s="15" t="n"/>
      <c r="D20" s="15" t="n"/>
      <c r="E20" s="15" t="n"/>
      <c r="F20" s="15" t="n"/>
      <c r="G20" s="17" t="inlineStr">
        <is>
          <t>Wochenende</t>
        </is>
      </c>
    </row>
    <row r="21">
      <c r="A21" s="20" t="n"/>
      <c r="B21" s="20" t="n"/>
      <c r="C21" s="20" t="n"/>
      <c r="D21" s="20" t="n"/>
      <c r="E21" s="21" t="inlineStr">
        <is>
          <t>Summe KW 11</t>
        </is>
      </c>
      <c r="F21" s="22">
        <f>SUM(F14:F20)</f>
        <v/>
      </c>
      <c r="G21" s="20" t="n"/>
    </row>
    <row r="22">
      <c r="A22" s="5" t="inlineStr">
        <is>
          <t>Mo</t>
        </is>
      </c>
      <c r="B22" s="18" t="n">
        <v>46097</v>
      </c>
      <c r="C22" s="19" t="n">
        <v>0.2986111111111111</v>
      </c>
      <c r="D22" s="19" t="n">
        <v>0.7361111111111112</v>
      </c>
      <c r="E22" s="19" t="n">
        <v>0.03125</v>
      </c>
      <c r="F22" s="7">
        <f>(D22-C22-E22)*24</f>
        <v/>
      </c>
      <c r="G22" s="6" t="inlineStr"/>
    </row>
    <row r="23">
      <c r="A23" s="5" t="inlineStr">
        <is>
          <t>Di</t>
        </is>
      </c>
      <c r="B23" s="18" t="n">
        <v>46098</v>
      </c>
      <c r="C23" s="19" t="n">
        <v>0.3055555555555556</v>
      </c>
      <c r="D23" s="19" t="n">
        <v>0.7222222222222222</v>
      </c>
      <c r="E23" s="19" t="n">
        <v>0.03125</v>
      </c>
      <c r="F23" s="7">
        <f>(D23-C23-E23)*24</f>
        <v/>
      </c>
      <c r="G23" s="6" t="inlineStr"/>
    </row>
    <row r="24">
      <c r="A24" s="5" t="inlineStr">
        <is>
          <t>Mi</t>
        </is>
      </c>
      <c r="B24" s="18" t="n">
        <v>46099</v>
      </c>
      <c r="C24" s="19" t="n">
        <v>0.4895833333333333</v>
      </c>
      <c r="D24" s="19" t="n">
        <v>0.75</v>
      </c>
      <c r="E24" s="19" t="n">
        <v>0.01041666666666667</v>
      </c>
      <c r="F24" s="7">
        <f>(D24-C24-E24)*24</f>
        <v/>
      </c>
      <c r="G24" s="6" t="inlineStr">
        <is>
          <t>Vorlesung 10:00–11:30, danach im Betrieb</t>
        </is>
      </c>
    </row>
    <row r="25">
      <c r="A25" s="5" t="inlineStr">
        <is>
          <t>Do</t>
        </is>
      </c>
      <c r="B25" s="18" t="n">
        <v>46100</v>
      </c>
      <c r="C25" s="19" t="n">
        <v>0.2951388888888889</v>
      </c>
      <c r="D25" s="19" t="n">
        <v>0.7118055555555556</v>
      </c>
      <c r="E25" s="19" t="n">
        <v>0.03125</v>
      </c>
      <c r="F25" s="7">
        <f>(D25-C25-E25)*24</f>
        <v/>
      </c>
      <c r="G25" s="6" t="inlineStr"/>
    </row>
    <row r="26">
      <c r="A26" s="23" t="inlineStr">
        <is>
          <t>Fr</t>
        </is>
      </c>
      <c r="B26" s="24" t="n">
        <v>46101</v>
      </c>
      <c r="C26" s="23" t="n"/>
      <c r="D26" s="23" t="n"/>
      <c r="E26" s="23" t="n"/>
      <c r="F26" s="23" t="n"/>
      <c r="G26" s="25" t="inlineStr">
        <is>
          <t>Krank</t>
        </is>
      </c>
    </row>
    <row r="27">
      <c r="A27" s="15" t="inlineStr">
        <is>
          <t>Sa</t>
        </is>
      </c>
      <c r="B27" s="16" t="n">
        <v>46102</v>
      </c>
      <c r="C27" s="15" t="n"/>
      <c r="D27" s="15" t="n"/>
      <c r="E27" s="15" t="n"/>
      <c r="F27" s="15" t="n"/>
      <c r="G27" s="17" t="inlineStr">
        <is>
          <t>Wochenende</t>
        </is>
      </c>
    </row>
    <row r="28">
      <c r="A28" s="15" t="inlineStr">
        <is>
          <t>So</t>
        </is>
      </c>
      <c r="B28" s="16" t="n">
        <v>46103</v>
      </c>
      <c r="C28" s="15" t="n"/>
      <c r="D28" s="15" t="n"/>
      <c r="E28" s="15" t="n"/>
      <c r="F28" s="15" t="n"/>
      <c r="G28" s="17" t="inlineStr">
        <is>
          <t>Wochenende</t>
        </is>
      </c>
    </row>
    <row r="29">
      <c r="A29" s="20" t="n"/>
      <c r="B29" s="20" t="n"/>
      <c r="C29" s="20" t="n"/>
      <c r="D29" s="20" t="n"/>
      <c r="E29" s="21" t="inlineStr">
        <is>
          <t>Summe KW 12</t>
        </is>
      </c>
      <c r="F29" s="22">
        <f>SUM(F22:F28)</f>
        <v/>
      </c>
      <c r="G29" s="20" t="n"/>
    </row>
    <row r="30">
      <c r="A30" s="5" t="inlineStr">
        <is>
          <t>Mo</t>
        </is>
      </c>
      <c r="B30" s="18" t="n">
        <v>46104</v>
      </c>
      <c r="C30" s="19" t="n">
        <v>0.3125</v>
      </c>
      <c r="D30" s="19" t="n">
        <v>0.75</v>
      </c>
      <c r="E30" s="19" t="n">
        <v>0.03125</v>
      </c>
      <c r="F30" s="7">
        <f>(D30-C30-E30)*24</f>
        <v/>
      </c>
      <c r="G30" s="6" t="inlineStr"/>
    </row>
    <row r="31">
      <c r="A31" s="5" t="inlineStr">
        <is>
          <t>Di</t>
        </is>
      </c>
      <c r="B31" s="18" t="n">
        <v>46105</v>
      </c>
      <c r="C31" s="19" t="n">
        <v>0.3020833333333333</v>
      </c>
      <c r="D31" s="19" t="n">
        <v>0.75</v>
      </c>
      <c r="E31" s="19" t="n">
        <v>0.03125</v>
      </c>
      <c r="F31" s="7">
        <f>(D31-C31-E31)*24</f>
        <v/>
      </c>
      <c r="G31" s="6" t="inlineStr"/>
    </row>
    <row r="32">
      <c r="A32" s="5" t="inlineStr">
        <is>
          <t>Mi</t>
        </is>
      </c>
      <c r="B32" s="18" t="n">
        <v>46106</v>
      </c>
      <c r="C32" s="19" t="n">
        <v>0.4895833333333333</v>
      </c>
      <c r="D32" s="19" t="n">
        <v>0.7083333333333334</v>
      </c>
      <c r="E32" s="19" t="n">
        <v>0.01041666666666667</v>
      </c>
      <c r="F32" s="7">
        <f>(D32-C32-E32)*24</f>
        <v/>
      </c>
      <c r="G32" s="6" t="inlineStr">
        <is>
          <t>Vorlesung 10:00–11:30, danach im Betrieb</t>
        </is>
      </c>
    </row>
    <row r="33">
      <c r="A33" s="5" t="inlineStr">
        <is>
          <t>Do</t>
        </is>
      </c>
      <c r="B33" s="18" t="n">
        <v>46107</v>
      </c>
      <c r="C33" s="19" t="n">
        <v>0.2916666666666667</v>
      </c>
      <c r="D33" s="19" t="n">
        <v>0.6875</v>
      </c>
      <c r="E33" s="19" t="n">
        <v>0.02083333333333333</v>
      </c>
      <c r="F33" s="7">
        <f>(D33-C33-E33)*24</f>
        <v/>
      </c>
      <c r="G33" s="6" t="inlineStr"/>
    </row>
    <row r="34">
      <c r="A34" s="5" t="inlineStr">
        <is>
          <t>Fr</t>
        </is>
      </c>
      <c r="B34" s="18" t="n">
        <v>46108</v>
      </c>
      <c r="C34" s="19" t="n">
        <v>0.3020833333333333</v>
      </c>
      <c r="D34" s="19" t="n">
        <v>0.6979166666666666</v>
      </c>
      <c r="E34" s="19" t="n">
        <v>0.02083333333333333</v>
      </c>
      <c r="F34" s="7">
        <f>(D34-C34-E34)*24</f>
        <v/>
      </c>
      <c r="G34" s="6" t="inlineStr"/>
    </row>
    <row r="35">
      <c r="A35" s="15" t="inlineStr">
        <is>
          <t>Sa</t>
        </is>
      </c>
      <c r="B35" s="16" t="n">
        <v>46109</v>
      </c>
      <c r="C35" s="15" t="n"/>
      <c r="D35" s="15" t="n"/>
      <c r="E35" s="15" t="n"/>
      <c r="F35" s="15" t="n"/>
      <c r="G35" s="17" t="inlineStr">
        <is>
          <t>Wochenende</t>
        </is>
      </c>
    </row>
    <row r="36">
      <c r="A36" s="15" t="inlineStr">
        <is>
          <t>So</t>
        </is>
      </c>
      <c r="B36" s="16" t="n">
        <v>46110</v>
      </c>
      <c r="C36" s="15" t="n"/>
      <c r="D36" s="15" t="n"/>
      <c r="E36" s="15" t="n"/>
      <c r="F36" s="15" t="n"/>
      <c r="G36" s="17" t="inlineStr">
        <is>
          <t>Wochenende</t>
        </is>
      </c>
    </row>
    <row r="37">
      <c r="A37" s="20" t="n"/>
      <c r="B37" s="20" t="n"/>
      <c r="C37" s="20" t="n"/>
      <c r="D37" s="20" t="n"/>
      <c r="E37" s="21" t="inlineStr">
        <is>
          <t>Summe KW 13</t>
        </is>
      </c>
      <c r="F37" s="22">
        <f>SUM(F30:F36)</f>
        <v/>
      </c>
      <c r="G37" s="20" t="n"/>
    </row>
    <row r="38">
      <c r="A38" s="5" t="inlineStr">
        <is>
          <t>Mo</t>
        </is>
      </c>
      <c r="B38" s="18" t="n">
        <v>46111</v>
      </c>
      <c r="C38" s="19" t="n">
        <v>0.2951388888888889</v>
      </c>
      <c r="D38" s="19" t="n">
        <v>0.7430555555555556</v>
      </c>
      <c r="E38" s="19" t="n">
        <v>0.03125</v>
      </c>
      <c r="F38" s="7">
        <f>(D38-C38-E38)*24</f>
        <v/>
      </c>
      <c r="G38" s="6" t="inlineStr"/>
    </row>
    <row r="39">
      <c r="A39" s="5" t="inlineStr">
        <is>
          <t>Di</t>
        </is>
      </c>
      <c r="B39" s="18" t="n">
        <v>46112</v>
      </c>
      <c r="C39" s="19" t="n">
        <v>0.3055555555555556</v>
      </c>
      <c r="D39" s="19" t="n">
        <v>0.7326388888888888</v>
      </c>
      <c r="E39" s="19" t="n">
        <v>0.03125</v>
      </c>
      <c r="F39" s="7">
        <f>(D39-C39-E39)*24</f>
        <v/>
      </c>
      <c r="G39" s="6" t="inlineStr"/>
    </row>
    <row r="40">
      <c r="A40" s="20" t="n"/>
      <c r="B40" s="20" t="n"/>
      <c r="C40" s="20" t="n"/>
      <c r="D40" s="20" t="n"/>
      <c r="E40" s="21" t="inlineStr">
        <is>
          <t>Summe KW 14</t>
        </is>
      </c>
      <c r="F40" s="22">
        <f>SUM(F38:F39)</f>
        <v/>
      </c>
      <c r="G40" s="26" t="inlineStr">
        <is>
          <t>anteilig – Woche reicht in den Nachbarmonat</t>
        </is>
      </c>
    </row>
    <row r="41">
      <c r="E41" s="9" t="inlineStr">
        <is>
          <t>Summe</t>
        </is>
      </c>
      <c r="F41" s="11">
        <f>F13+F21+F29+F37+F40</f>
        <v/>
      </c>
      <c r="G41" s="27" t="inlineStr">
        <is>
          <t>Stunden netto im Monat</t>
        </is>
      </c>
    </row>
    <row r="43">
      <c r="A43" s="28" t="n"/>
      <c r="B43" s="28" t="n"/>
      <c r="C43" s="28" t="n"/>
      <c r="E43" s="28" t="n"/>
      <c r="F43" s="28" t="n"/>
      <c r="G43" s="28" t="n"/>
      <c r="H43" s="28" t="n"/>
    </row>
    <row r="44">
      <c r="A44" s="29" t="inlineStr">
        <is>
          <t>Datum, Unterschrift Praktikant</t>
        </is>
      </c>
      <c r="E44" s="29" t="inlineStr">
        <is>
          <t>Datum, Unterschrift und Stempel des Betriebes</t>
        </is>
      </c>
    </row>
  </sheetData>
  <mergeCells count="4">
    <mergeCell ref="A1:C1"/>
    <mergeCell ref="D2:G2"/>
    <mergeCell ref="D1:G1"/>
    <mergeCell ref="A2:C2"/>
  </mergeCells>
  <pageMargins left="0.5" right="0.5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1" customWidth="1" min="3" max="3"/>
    <col width="11" customWidth="1" min="4" max="4"/>
    <col width="10" customWidth="1" min="5" max="5"/>
    <col width="12" customWidth="1" min="6" max="6"/>
    <col width="34" customWidth="1" min="7" max="7"/>
  </cols>
  <sheetData>
    <row r="1" ht="20" customHeight="1">
      <c r="A1" s="1" t="inlineStr">
        <is>
          <t>Zeiterfassung Praxissemester</t>
        </is>
      </c>
      <c r="D1" s="2" t="inlineStr">
        <is>
          <t>Houcine Hassine · Matrikelnummer 3399727</t>
        </is>
      </c>
    </row>
    <row r="2">
      <c r="A2" s="3" t="inlineStr">
        <is>
          <t>April 2026</t>
        </is>
      </c>
      <c r="D2" s="2" t="inlineStr">
        <is>
          <t>Mechanische Werkstätte Schmidt e.K., Essing</t>
        </is>
      </c>
    </row>
    <row r="4" ht="20" customHeight="1">
      <c r="A4" s="4" t="inlineStr">
        <is>
          <t>Tag</t>
        </is>
      </c>
      <c r="B4" s="4" t="inlineStr">
        <is>
          <t>Datum</t>
        </is>
      </c>
      <c r="C4" s="4" t="inlineStr">
        <is>
          <t>Beginn</t>
        </is>
      </c>
      <c r="D4" s="4" t="inlineStr">
        <is>
          <t>Ende</t>
        </is>
      </c>
      <c r="E4" s="4" t="inlineStr">
        <is>
          <t>Pause</t>
        </is>
      </c>
      <c r="F4" s="4" t="inlineStr">
        <is>
          <t>Std netto</t>
        </is>
      </c>
      <c r="G4" s="4" t="inlineStr">
        <is>
          <t>Bemerkung</t>
        </is>
      </c>
    </row>
    <row r="5">
      <c r="A5" s="5" t="inlineStr">
        <is>
          <t>Mi</t>
        </is>
      </c>
      <c r="B5" s="18" t="n">
        <v>46113</v>
      </c>
      <c r="C5" s="19" t="n">
        <v>0.4895833333333333</v>
      </c>
      <c r="D5" s="19" t="n">
        <v>0.75</v>
      </c>
      <c r="E5" s="19" t="n">
        <v>0.01041666666666667</v>
      </c>
      <c r="F5" s="7">
        <f>(D5-C5-E5)*24</f>
        <v/>
      </c>
      <c r="G5" s="6" t="inlineStr">
        <is>
          <t>Vorlesung 10:00–11:30, danach im Betrieb</t>
        </is>
      </c>
    </row>
    <row r="6">
      <c r="A6" s="5" t="inlineStr">
        <is>
          <t>Do</t>
        </is>
      </c>
      <c r="B6" s="18" t="n">
        <v>46114</v>
      </c>
      <c r="C6" s="19" t="n">
        <v>0.2916666666666667</v>
      </c>
      <c r="D6" s="19" t="n">
        <v>0.75</v>
      </c>
      <c r="E6" s="19" t="n">
        <v>0.03125</v>
      </c>
      <c r="F6" s="7">
        <f>(D6-C6-E6)*24</f>
        <v/>
      </c>
      <c r="G6" s="6" t="inlineStr"/>
    </row>
    <row r="7">
      <c r="A7" s="23" t="inlineStr">
        <is>
          <t>Fr</t>
        </is>
      </c>
      <c r="B7" s="24" t="n">
        <v>46115</v>
      </c>
      <c r="C7" s="23" t="n"/>
      <c r="D7" s="23" t="n"/>
      <c r="E7" s="23" t="n"/>
      <c r="F7" s="23" t="n"/>
      <c r="G7" s="25" t="inlineStr">
        <is>
          <t>Karfreitag</t>
        </is>
      </c>
    </row>
    <row r="8">
      <c r="A8" s="15" t="inlineStr">
        <is>
          <t>Sa</t>
        </is>
      </c>
      <c r="B8" s="16" t="n">
        <v>46116</v>
      </c>
      <c r="C8" s="15" t="n"/>
      <c r="D8" s="15" t="n"/>
      <c r="E8" s="15" t="n"/>
      <c r="F8" s="15" t="n"/>
      <c r="G8" s="17" t="inlineStr">
        <is>
          <t>Wochenende</t>
        </is>
      </c>
    </row>
    <row r="9">
      <c r="A9" s="15" t="inlineStr">
        <is>
          <t>So</t>
        </is>
      </c>
      <c r="B9" s="16" t="n">
        <v>46117</v>
      </c>
      <c r="C9" s="15" t="n"/>
      <c r="D9" s="15" t="n"/>
      <c r="E9" s="15" t="n"/>
      <c r="F9" s="15" t="n"/>
      <c r="G9" s="17" t="inlineStr">
        <is>
          <t>Wochenende</t>
        </is>
      </c>
    </row>
    <row r="10">
      <c r="A10" s="20" t="n"/>
      <c r="B10" s="20" t="n"/>
      <c r="C10" s="20" t="n"/>
      <c r="D10" s="20" t="n"/>
      <c r="E10" s="21" t="inlineStr">
        <is>
          <t>Summe KW 14</t>
        </is>
      </c>
      <c r="F10" s="22">
        <f>SUM(F5:F9)</f>
        <v/>
      </c>
      <c r="G10" s="26" t="inlineStr">
        <is>
          <t>anteilig – Woche reicht in den Nachbarmonat</t>
        </is>
      </c>
    </row>
    <row r="11">
      <c r="A11" s="23" t="inlineStr">
        <is>
          <t>Mo</t>
        </is>
      </c>
      <c r="B11" s="24" t="n">
        <v>46118</v>
      </c>
      <c r="C11" s="23" t="n"/>
      <c r="D11" s="23" t="n"/>
      <c r="E11" s="23" t="n"/>
      <c r="F11" s="23" t="n"/>
      <c r="G11" s="25" t="inlineStr">
        <is>
          <t>Ostermontag</t>
        </is>
      </c>
    </row>
    <row r="12">
      <c r="A12" s="5" t="inlineStr">
        <is>
          <t>Di</t>
        </is>
      </c>
      <c r="B12" s="18" t="n">
        <v>46119</v>
      </c>
      <c r="C12" s="19" t="n">
        <v>0.3125</v>
      </c>
      <c r="D12" s="19" t="n">
        <v>0.7291666666666666</v>
      </c>
      <c r="E12" s="19" t="n">
        <v>0.03125</v>
      </c>
      <c r="F12" s="7">
        <f>(D12-C12-E12)*24</f>
        <v/>
      </c>
      <c r="G12" s="6" t="inlineStr"/>
    </row>
    <row r="13">
      <c r="A13" s="5" t="inlineStr">
        <is>
          <t>Mi</t>
        </is>
      </c>
      <c r="B13" s="18" t="n">
        <v>46120</v>
      </c>
      <c r="C13" s="19" t="n">
        <v>0.4965277777777778</v>
      </c>
      <c r="D13" s="19" t="n">
        <v>0.7152777777777778</v>
      </c>
      <c r="E13" s="19" t="n">
        <v>0.01041666666666667</v>
      </c>
      <c r="F13" s="7">
        <f>(D13-C13-E13)*24</f>
        <v/>
      </c>
      <c r="G13" s="6" t="inlineStr">
        <is>
          <t>Vorlesung 10:00–11:30, danach im Betrieb</t>
        </is>
      </c>
    </row>
    <row r="14">
      <c r="A14" s="5" t="inlineStr">
        <is>
          <t>Do</t>
        </is>
      </c>
      <c r="B14" s="18" t="n">
        <v>46121</v>
      </c>
      <c r="C14" s="19" t="n">
        <v>0.2951388888888889</v>
      </c>
      <c r="D14" s="19" t="n">
        <v>0.7222222222222222</v>
      </c>
      <c r="E14" s="19" t="n">
        <v>0.03125</v>
      </c>
      <c r="F14" s="7">
        <f>(D14-C14-E14)*24</f>
        <v/>
      </c>
      <c r="G14" s="6" t="inlineStr"/>
    </row>
    <row r="15">
      <c r="A15" s="5" t="inlineStr">
        <is>
          <t>Fr</t>
        </is>
      </c>
      <c r="B15" s="18" t="n">
        <v>46122</v>
      </c>
      <c r="C15" s="19" t="n">
        <v>0.3020833333333333</v>
      </c>
      <c r="D15" s="19" t="n">
        <v>0.75</v>
      </c>
      <c r="E15" s="19" t="n">
        <v>0.03125</v>
      </c>
      <c r="F15" s="7">
        <f>(D15-C15-E15)*24</f>
        <v/>
      </c>
      <c r="G15" s="6" t="inlineStr"/>
    </row>
    <row r="16">
      <c r="A16" s="15" t="inlineStr">
        <is>
          <t>Sa</t>
        </is>
      </c>
      <c r="B16" s="16" t="n">
        <v>46123</v>
      </c>
      <c r="C16" s="15" t="n"/>
      <c r="D16" s="15" t="n"/>
      <c r="E16" s="15" t="n"/>
      <c r="F16" s="15" t="n"/>
      <c r="G16" s="17" t="inlineStr">
        <is>
          <t>Wochenende</t>
        </is>
      </c>
    </row>
    <row r="17">
      <c r="A17" s="15" t="inlineStr">
        <is>
          <t>So</t>
        </is>
      </c>
      <c r="B17" s="16" t="n">
        <v>46124</v>
      </c>
      <c r="C17" s="15" t="n"/>
      <c r="D17" s="15" t="n"/>
      <c r="E17" s="15" t="n"/>
      <c r="F17" s="15" t="n"/>
      <c r="G17" s="17" t="inlineStr">
        <is>
          <t>Wochenende</t>
        </is>
      </c>
    </row>
    <row r="18">
      <c r="A18" s="20" t="n"/>
      <c r="B18" s="20" t="n"/>
      <c r="C18" s="20" t="n"/>
      <c r="D18" s="20" t="n"/>
      <c r="E18" s="21" t="inlineStr">
        <is>
          <t>Summe KW 15</t>
        </is>
      </c>
      <c r="F18" s="22">
        <f>SUM(F11:F17)</f>
        <v/>
      </c>
      <c r="G18" s="20" t="n"/>
    </row>
    <row r="19">
      <c r="A19" s="5" t="inlineStr">
        <is>
          <t>Mo</t>
        </is>
      </c>
      <c r="B19" s="18" t="n">
        <v>46125</v>
      </c>
      <c r="C19" s="19" t="n">
        <v>0.2916666666666667</v>
      </c>
      <c r="D19" s="19" t="n">
        <v>0.7395833333333334</v>
      </c>
      <c r="E19" s="19" t="n">
        <v>0.03125</v>
      </c>
      <c r="F19" s="7">
        <f>(D19-C19-E19)*24</f>
        <v/>
      </c>
      <c r="G19" s="6" t="inlineStr"/>
    </row>
    <row r="20">
      <c r="A20" s="5" t="inlineStr">
        <is>
          <t>Di</t>
        </is>
      </c>
      <c r="B20" s="18" t="n">
        <v>46126</v>
      </c>
      <c r="C20" s="19" t="n">
        <v>0.3020833333333333</v>
      </c>
      <c r="D20" s="19" t="n">
        <v>0.7291666666666666</v>
      </c>
      <c r="E20" s="19" t="n">
        <v>0.03125</v>
      </c>
      <c r="F20" s="7">
        <f>(D20-C20-E20)*24</f>
        <v/>
      </c>
      <c r="G20" s="6" t="inlineStr"/>
    </row>
    <row r="21">
      <c r="A21" s="5" t="inlineStr">
        <is>
          <t>Mi</t>
        </is>
      </c>
      <c r="B21" s="18" t="n">
        <v>46127</v>
      </c>
      <c r="C21" s="19" t="n">
        <v>0.5034722222222222</v>
      </c>
      <c r="D21" s="19" t="n">
        <v>0.7326388888888888</v>
      </c>
      <c r="E21" s="19" t="n">
        <v>0.01041666666666667</v>
      </c>
      <c r="F21" s="7">
        <f>(D21-C21-E21)*24</f>
        <v/>
      </c>
      <c r="G21" s="6" t="inlineStr">
        <is>
          <t>Vorlesung 10:00–11:30, danach im Betrieb</t>
        </is>
      </c>
    </row>
    <row r="22">
      <c r="A22" s="5" t="inlineStr">
        <is>
          <t>Do</t>
        </is>
      </c>
      <c r="B22" s="18" t="n">
        <v>46128</v>
      </c>
      <c r="C22" s="19" t="n">
        <v>0.2986111111111111</v>
      </c>
      <c r="D22" s="19" t="n">
        <v>0.7152777777777778</v>
      </c>
      <c r="E22" s="19" t="n">
        <v>0.03125</v>
      </c>
      <c r="F22" s="7">
        <f>(D22-C22-E22)*24</f>
        <v/>
      </c>
      <c r="G22" s="6" t="inlineStr"/>
    </row>
    <row r="23">
      <c r="A23" s="5" t="inlineStr">
        <is>
          <t>Fr</t>
        </is>
      </c>
      <c r="B23" s="18" t="n">
        <v>46129</v>
      </c>
      <c r="C23" s="19" t="n">
        <v>0.2916666666666667</v>
      </c>
      <c r="D23" s="19" t="n">
        <v>0.75</v>
      </c>
      <c r="E23" s="19" t="n">
        <v>0.03125</v>
      </c>
      <c r="F23" s="7">
        <f>(D23-C23-E23)*24</f>
        <v/>
      </c>
      <c r="G23" s="6" t="inlineStr"/>
    </row>
    <row r="24">
      <c r="A24" s="15" t="inlineStr">
        <is>
          <t>Sa</t>
        </is>
      </c>
      <c r="B24" s="16" t="n">
        <v>46130</v>
      </c>
      <c r="C24" s="15" t="n"/>
      <c r="D24" s="15" t="n"/>
      <c r="E24" s="15" t="n"/>
      <c r="F24" s="15" t="n"/>
      <c r="G24" s="17" t="inlineStr">
        <is>
          <t>Wochenende</t>
        </is>
      </c>
    </row>
    <row r="25">
      <c r="A25" s="15" t="inlineStr">
        <is>
          <t>So</t>
        </is>
      </c>
      <c r="B25" s="16" t="n">
        <v>46131</v>
      </c>
      <c r="C25" s="15" t="n"/>
      <c r="D25" s="15" t="n"/>
      <c r="E25" s="15" t="n"/>
      <c r="F25" s="15" t="n"/>
      <c r="G25" s="17" t="inlineStr">
        <is>
          <t>Wochenende</t>
        </is>
      </c>
    </row>
    <row r="26">
      <c r="A26" s="20" t="n"/>
      <c r="B26" s="20" t="n"/>
      <c r="C26" s="20" t="n"/>
      <c r="D26" s="20" t="n"/>
      <c r="E26" s="21" t="inlineStr">
        <is>
          <t>Summe KW 16</t>
        </is>
      </c>
      <c r="F26" s="22">
        <f>SUM(F19:F25)</f>
        <v/>
      </c>
      <c r="G26" s="20" t="n"/>
    </row>
    <row r="27">
      <c r="A27" s="5" t="inlineStr">
        <is>
          <t>Mo</t>
        </is>
      </c>
      <c r="B27" s="18" t="n">
        <v>46132</v>
      </c>
      <c r="C27" s="19" t="n">
        <v>0.2951388888888889</v>
      </c>
      <c r="D27" s="19" t="n">
        <v>0.7326388888888888</v>
      </c>
      <c r="E27" s="19" t="n">
        <v>0.03125</v>
      </c>
      <c r="F27" s="7">
        <f>(D27-C27-E27)*24</f>
        <v/>
      </c>
      <c r="G27" s="6" t="inlineStr"/>
    </row>
    <row r="28">
      <c r="A28" s="5" t="inlineStr">
        <is>
          <t>Di</t>
        </is>
      </c>
      <c r="B28" s="18" t="n">
        <v>46133</v>
      </c>
      <c r="C28" s="19" t="n">
        <v>0.3125</v>
      </c>
      <c r="D28" s="19" t="n">
        <v>0.75</v>
      </c>
      <c r="E28" s="19" t="n">
        <v>0.03125</v>
      </c>
      <c r="F28" s="7">
        <f>(D28-C28-E28)*24</f>
        <v/>
      </c>
      <c r="G28" s="6" t="inlineStr"/>
    </row>
    <row r="29">
      <c r="A29" s="5" t="inlineStr">
        <is>
          <t>Mi</t>
        </is>
      </c>
      <c r="B29" s="18" t="n">
        <v>46134</v>
      </c>
      <c r="C29" s="19" t="n">
        <v>0.4930555555555556</v>
      </c>
      <c r="D29" s="19" t="n">
        <v>0.7430555555555556</v>
      </c>
      <c r="E29" s="19" t="n">
        <v>0.01041666666666667</v>
      </c>
      <c r="F29" s="7">
        <f>(D29-C29-E29)*24</f>
        <v/>
      </c>
      <c r="G29" s="6" t="inlineStr">
        <is>
          <t>Vorlesung 10:00–11:30, danach im Betrieb</t>
        </is>
      </c>
    </row>
    <row r="30">
      <c r="A30" s="5" t="inlineStr">
        <is>
          <t>Do</t>
        </is>
      </c>
      <c r="B30" s="18" t="n">
        <v>46135</v>
      </c>
      <c r="C30" s="19" t="n">
        <v>0.3020833333333333</v>
      </c>
      <c r="D30" s="19" t="n">
        <v>0.75</v>
      </c>
      <c r="E30" s="19" t="n">
        <v>0.03125</v>
      </c>
      <c r="F30" s="7">
        <f>(D30-C30-E30)*24</f>
        <v/>
      </c>
      <c r="G30" s="6" t="inlineStr"/>
    </row>
    <row r="31">
      <c r="A31" s="5" t="inlineStr">
        <is>
          <t>Fr</t>
        </is>
      </c>
      <c r="B31" s="18" t="n">
        <v>46136</v>
      </c>
      <c r="C31" s="19" t="n">
        <v>0.2916666666666667</v>
      </c>
      <c r="D31" s="19" t="n">
        <v>0.71875</v>
      </c>
      <c r="E31" s="19" t="n">
        <v>0.03125</v>
      </c>
      <c r="F31" s="7">
        <f>(D31-C31-E31)*24</f>
        <v/>
      </c>
      <c r="G31" s="6" t="inlineStr"/>
    </row>
    <row r="32">
      <c r="A32" s="15" t="inlineStr">
        <is>
          <t>Sa</t>
        </is>
      </c>
      <c r="B32" s="16" t="n">
        <v>46137</v>
      </c>
      <c r="C32" s="15" t="n"/>
      <c r="D32" s="15" t="n"/>
      <c r="E32" s="15" t="n"/>
      <c r="F32" s="15" t="n"/>
      <c r="G32" s="17" t="inlineStr">
        <is>
          <t>Wochenende</t>
        </is>
      </c>
    </row>
    <row r="33">
      <c r="A33" s="15" t="inlineStr">
        <is>
          <t>So</t>
        </is>
      </c>
      <c r="B33" s="16" t="n">
        <v>46138</v>
      </c>
      <c r="C33" s="15" t="n"/>
      <c r="D33" s="15" t="n"/>
      <c r="E33" s="15" t="n"/>
      <c r="F33" s="15" t="n"/>
      <c r="G33" s="17" t="inlineStr">
        <is>
          <t>Wochenende</t>
        </is>
      </c>
    </row>
    <row r="34">
      <c r="A34" s="20" t="n"/>
      <c r="B34" s="20" t="n"/>
      <c r="C34" s="20" t="n"/>
      <c r="D34" s="20" t="n"/>
      <c r="E34" s="21" t="inlineStr">
        <is>
          <t>Summe KW 17</t>
        </is>
      </c>
      <c r="F34" s="22">
        <f>SUM(F27:F33)</f>
        <v/>
      </c>
      <c r="G34" s="20" t="n"/>
    </row>
    <row r="35">
      <c r="A35" s="5" t="inlineStr">
        <is>
          <t>Mo</t>
        </is>
      </c>
      <c r="B35" s="18" t="n">
        <v>46139</v>
      </c>
      <c r="C35" s="19" t="n">
        <v>0.3020833333333333</v>
      </c>
      <c r="D35" s="19" t="n">
        <v>0.7291666666666666</v>
      </c>
      <c r="E35" s="19" t="n">
        <v>0.03125</v>
      </c>
      <c r="F35" s="7">
        <f>(D35-C35-E35)*24</f>
        <v/>
      </c>
      <c r="G35" s="6" t="inlineStr"/>
    </row>
    <row r="36">
      <c r="A36" s="5" t="inlineStr">
        <is>
          <t>Di</t>
        </is>
      </c>
      <c r="B36" s="18" t="n">
        <v>46140</v>
      </c>
      <c r="C36" s="19" t="n">
        <v>0.2951388888888889</v>
      </c>
      <c r="D36" s="19" t="n">
        <v>0.7430555555555556</v>
      </c>
      <c r="E36" s="19" t="n">
        <v>0.03125</v>
      </c>
      <c r="F36" s="7">
        <f>(D36-C36-E36)*24</f>
        <v/>
      </c>
      <c r="G36" s="6" t="inlineStr"/>
    </row>
    <row r="37">
      <c r="A37" s="5" t="inlineStr">
        <is>
          <t>Mi</t>
        </is>
      </c>
      <c r="B37" s="18" t="n">
        <v>46141</v>
      </c>
      <c r="C37" s="19" t="n">
        <v>0.5104166666666666</v>
      </c>
      <c r="D37" s="19" t="n">
        <v>0.75</v>
      </c>
      <c r="E37" s="19" t="n">
        <v>0.01041666666666667</v>
      </c>
      <c r="F37" s="7">
        <f>(D37-C37-E37)*24</f>
        <v/>
      </c>
      <c r="G37" s="6" t="inlineStr">
        <is>
          <t>Vorlesung 10:00–11:30, danach im Betrieb</t>
        </is>
      </c>
    </row>
    <row r="38">
      <c r="A38" s="5" t="inlineStr">
        <is>
          <t>Do</t>
        </is>
      </c>
      <c r="B38" s="18" t="n">
        <v>46142</v>
      </c>
      <c r="C38" s="19" t="n">
        <v>0.3055555555555556</v>
      </c>
      <c r="D38" s="19" t="n">
        <v>0.7430555555555556</v>
      </c>
      <c r="E38" s="19" t="n">
        <v>0.03125</v>
      </c>
      <c r="F38" s="7">
        <f>(D38-C38-E38)*24</f>
        <v/>
      </c>
      <c r="G38" s="6" t="inlineStr"/>
    </row>
    <row r="39">
      <c r="A39" s="20" t="n"/>
      <c r="B39" s="20" t="n"/>
      <c r="C39" s="20" t="n"/>
      <c r="D39" s="20" t="n"/>
      <c r="E39" s="21" t="inlineStr">
        <is>
          <t>Summe KW 18</t>
        </is>
      </c>
      <c r="F39" s="22">
        <f>SUM(F35:F38)</f>
        <v/>
      </c>
      <c r="G39" s="20" t="n"/>
    </row>
    <row r="40">
      <c r="E40" s="9" t="inlineStr">
        <is>
          <t>Summe</t>
        </is>
      </c>
      <c r="F40" s="11">
        <f>F10+F18+F26+F34+F39</f>
        <v/>
      </c>
      <c r="G40" s="27" t="inlineStr">
        <is>
          <t>Stunden netto im Monat</t>
        </is>
      </c>
    </row>
    <row r="42">
      <c r="A42" s="28" t="n"/>
      <c r="B42" s="28" t="n"/>
      <c r="C42" s="28" t="n"/>
      <c r="E42" s="28" t="n"/>
      <c r="F42" s="28" t="n"/>
      <c r="G42" s="28" t="n"/>
      <c r="H42" s="28" t="n"/>
    </row>
    <row r="43">
      <c r="A43" s="29" t="inlineStr">
        <is>
          <t>Datum, Unterschrift Praktikant</t>
        </is>
      </c>
      <c r="E43" s="29" t="inlineStr">
        <is>
          <t>Datum, Unterschrift und Stempel des Betriebes</t>
        </is>
      </c>
    </row>
  </sheetData>
  <mergeCells count="4">
    <mergeCell ref="A1:C1"/>
    <mergeCell ref="D2:G2"/>
    <mergeCell ref="D1:G1"/>
    <mergeCell ref="A2:C2"/>
  </mergeCells>
  <pageMargins left="0.5" right="0.5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1" customWidth="1" min="3" max="3"/>
    <col width="11" customWidth="1" min="4" max="4"/>
    <col width="10" customWidth="1" min="5" max="5"/>
    <col width="12" customWidth="1" min="6" max="6"/>
    <col width="34" customWidth="1" min="7" max="7"/>
  </cols>
  <sheetData>
    <row r="1" ht="20" customHeight="1">
      <c r="A1" s="1" t="inlineStr">
        <is>
          <t>Zeiterfassung Praxissemester</t>
        </is>
      </c>
      <c r="D1" s="2" t="inlineStr">
        <is>
          <t>Houcine Hassine · Matrikelnummer 3399727</t>
        </is>
      </c>
    </row>
    <row r="2">
      <c r="A2" s="3" t="inlineStr">
        <is>
          <t>Mai 2026</t>
        </is>
      </c>
      <c r="D2" s="2" t="inlineStr">
        <is>
          <t>Mechanische Werkstätte Schmidt e.K., Essing</t>
        </is>
      </c>
    </row>
    <row r="4" ht="20" customHeight="1">
      <c r="A4" s="4" t="inlineStr">
        <is>
          <t>Tag</t>
        </is>
      </c>
      <c r="B4" s="4" t="inlineStr">
        <is>
          <t>Datum</t>
        </is>
      </c>
      <c r="C4" s="4" t="inlineStr">
        <is>
          <t>Beginn</t>
        </is>
      </c>
      <c r="D4" s="4" t="inlineStr">
        <is>
          <t>Ende</t>
        </is>
      </c>
      <c r="E4" s="4" t="inlineStr">
        <is>
          <t>Pause</t>
        </is>
      </c>
      <c r="F4" s="4" t="inlineStr">
        <is>
          <t>Std netto</t>
        </is>
      </c>
      <c r="G4" s="4" t="inlineStr">
        <is>
          <t>Bemerkung</t>
        </is>
      </c>
    </row>
    <row r="5">
      <c r="A5" s="23" t="inlineStr">
        <is>
          <t>Fr</t>
        </is>
      </c>
      <c r="B5" s="24" t="n">
        <v>46143</v>
      </c>
      <c r="C5" s="23" t="n"/>
      <c r="D5" s="23" t="n"/>
      <c r="E5" s="23" t="n"/>
      <c r="F5" s="23" t="n"/>
      <c r="G5" s="25" t="inlineStr">
        <is>
          <t>Tag der Arbeit</t>
        </is>
      </c>
    </row>
    <row r="6">
      <c r="A6" s="15" t="inlineStr">
        <is>
          <t>Sa</t>
        </is>
      </c>
      <c r="B6" s="16" t="n">
        <v>46144</v>
      </c>
      <c r="C6" s="15" t="n"/>
      <c r="D6" s="15" t="n"/>
      <c r="E6" s="15" t="n"/>
      <c r="F6" s="15" t="n"/>
      <c r="G6" s="17" t="inlineStr">
        <is>
          <t>Wochenende</t>
        </is>
      </c>
    </row>
    <row r="7">
      <c r="A7" s="15" t="inlineStr">
        <is>
          <t>So</t>
        </is>
      </c>
      <c r="B7" s="16" t="n">
        <v>46145</v>
      </c>
      <c r="C7" s="15" t="n"/>
      <c r="D7" s="15" t="n"/>
      <c r="E7" s="15" t="n"/>
      <c r="F7" s="15" t="n"/>
      <c r="G7" s="17" t="inlineStr">
        <is>
          <t>Wochenende</t>
        </is>
      </c>
    </row>
    <row r="8">
      <c r="A8" s="5" t="inlineStr">
        <is>
          <t>Mo</t>
        </is>
      </c>
      <c r="B8" s="18" t="n">
        <v>46146</v>
      </c>
      <c r="C8" s="19" t="n">
        <v>0.2916666666666667</v>
      </c>
      <c r="D8" s="19" t="n">
        <v>0.75</v>
      </c>
      <c r="E8" s="19" t="n">
        <v>0.03125</v>
      </c>
      <c r="F8" s="7">
        <f>(D8-C8-E8)*24</f>
        <v/>
      </c>
      <c r="G8" s="6" t="inlineStr"/>
    </row>
    <row r="9">
      <c r="A9" s="5" t="inlineStr">
        <is>
          <t>Di</t>
        </is>
      </c>
      <c r="B9" s="18" t="n">
        <v>46147</v>
      </c>
      <c r="C9" s="19" t="n">
        <v>0.3125</v>
      </c>
      <c r="D9" s="19" t="n">
        <v>0.7291666666666666</v>
      </c>
      <c r="E9" s="19" t="n">
        <v>0.03125</v>
      </c>
      <c r="F9" s="7">
        <f>(D9-C9-E9)*24</f>
        <v/>
      </c>
      <c r="G9" s="6" t="inlineStr"/>
    </row>
    <row r="10">
      <c r="A10" s="5" t="inlineStr">
        <is>
          <t>Mi</t>
        </is>
      </c>
      <c r="B10" s="18" t="n">
        <v>46148</v>
      </c>
      <c r="C10" s="19" t="n">
        <v>0.4895833333333333</v>
      </c>
      <c r="D10" s="19" t="n">
        <v>0.75</v>
      </c>
      <c r="E10" s="19" t="n">
        <v>0.01041666666666667</v>
      </c>
      <c r="F10" s="7">
        <f>(D10-C10-E10)*24</f>
        <v/>
      </c>
      <c r="G10" s="6" t="inlineStr">
        <is>
          <t>Vorlesung 10:00–11:30, danach im Betrieb</t>
        </is>
      </c>
    </row>
    <row r="11">
      <c r="A11" s="5" t="inlineStr">
        <is>
          <t>Do</t>
        </is>
      </c>
      <c r="B11" s="18" t="n">
        <v>46149</v>
      </c>
      <c r="C11" s="19" t="n">
        <v>0.2951388888888889</v>
      </c>
      <c r="D11" s="19" t="n">
        <v>0.7222222222222222</v>
      </c>
      <c r="E11" s="19" t="n">
        <v>0.03125</v>
      </c>
      <c r="F11" s="7">
        <f>(D11-C11-E11)*24</f>
        <v/>
      </c>
      <c r="G11" s="6" t="inlineStr"/>
    </row>
    <row r="12">
      <c r="A12" s="5" t="inlineStr">
        <is>
          <t>Fr</t>
        </is>
      </c>
      <c r="B12" s="18" t="n">
        <v>46150</v>
      </c>
      <c r="C12" s="19" t="n">
        <v>0.3020833333333333</v>
      </c>
      <c r="D12" s="19" t="n">
        <v>0.75</v>
      </c>
      <c r="E12" s="19" t="n">
        <v>0.03125</v>
      </c>
      <c r="F12" s="7">
        <f>(D12-C12-E12)*24</f>
        <v/>
      </c>
      <c r="G12" s="6" t="inlineStr"/>
    </row>
    <row r="13">
      <c r="A13" s="15" t="inlineStr">
        <is>
          <t>Sa</t>
        </is>
      </c>
      <c r="B13" s="16" t="n">
        <v>46151</v>
      </c>
      <c r="C13" s="15" t="n"/>
      <c r="D13" s="15" t="n"/>
      <c r="E13" s="15" t="n"/>
      <c r="F13" s="15" t="n"/>
      <c r="G13" s="17" t="inlineStr">
        <is>
          <t>Wochenende</t>
        </is>
      </c>
    </row>
    <row r="14">
      <c r="A14" s="15" t="inlineStr">
        <is>
          <t>So</t>
        </is>
      </c>
      <c r="B14" s="16" t="n">
        <v>46152</v>
      </c>
      <c r="C14" s="15" t="n"/>
      <c r="D14" s="15" t="n"/>
      <c r="E14" s="15" t="n"/>
      <c r="F14" s="15" t="n"/>
      <c r="G14" s="17" t="inlineStr">
        <is>
          <t>Wochenende</t>
        </is>
      </c>
    </row>
    <row r="15">
      <c r="A15" s="20" t="n"/>
      <c r="B15" s="20" t="n"/>
      <c r="C15" s="20" t="n"/>
      <c r="D15" s="20" t="n"/>
      <c r="E15" s="21" t="inlineStr">
        <is>
          <t>Summe KW 19</t>
        </is>
      </c>
      <c r="F15" s="22">
        <f>SUM(F8:F14)</f>
        <v/>
      </c>
      <c r="G15" s="20" t="n"/>
    </row>
    <row r="16">
      <c r="A16" s="5" t="inlineStr">
        <is>
          <t>Mo</t>
        </is>
      </c>
      <c r="B16" s="18" t="n">
        <v>46153</v>
      </c>
      <c r="C16" s="19" t="n">
        <v>0.2916666666666667</v>
      </c>
      <c r="D16" s="19" t="n">
        <v>0.7395833333333334</v>
      </c>
      <c r="E16" s="19" t="n">
        <v>0.03125</v>
      </c>
      <c r="F16" s="7">
        <f>(D16-C16-E16)*24</f>
        <v/>
      </c>
      <c r="G16" s="6" t="inlineStr"/>
    </row>
    <row r="17">
      <c r="A17" s="5" t="inlineStr">
        <is>
          <t>Di</t>
        </is>
      </c>
      <c r="B17" s="18" t="n">
        <v>46154</v>
      </c>
      <c r="C17" s="19" t="n">
        <v>0.3020833333333333</v>
      </c>
      <c r="D17" s="19" t="n">
        <v>0.7291666666666666</v>
      </c>
      <c r="E17" s="19" t="n">
        <v>0.03125</v>
      </c>
      <c r="F17" s="7">
        <f>(D17-C17-E17)*24</f>
        <v/>
      </c>
      <c r="G17" s="6" t="inlineStr"/>
    </row>
    <row r="18">
      <c r="A18" s="5" t="inlineStr">
        <is>
          <t>Mi</t>
        </is>
      </c>
      <c r="B18" s="18" t="n">
        <v>46155</v>
      </c>
      <c r="C18" s="19" t="n">
        <v>0.4895833333333333</v>
      </c>
      <c r="D18" s="19" t="n">
        <v>0.7083333333333334</v>
      </c>
      <c r="E18" s="19" t="n">
        <v>0.01041666666666667</v>
      </c>
      <c r="F18" s="7">
        <f>(D18-C18-E18)*24</f>
        <v/>
      </c>
      <c r="G18" s="6" t="inlineStr">
        <is>
          <t>Vorlesung 10:00–11:30, danach im Betrieb</t>
        </is>
      </c>
    </row>
    <row r="19">
      <c r="A19" s="23" t="inlineStr">
        <is>
          <t>Do</t>
        </is>
      </c>
      <c r="B19" s="24" t="n">
        <v>46156</v>
      </c>
      <c r="C19" s="23" t="n"/>
      <c r="D19" s="23" t="n"/>
      <c r="E19" s="23" t="n"/>
      <c r="F19" s="23" t="n"/>
      <c r="G19" s="25" t="inlineStr">
        <is>
          <t>Christi Himmelfahrt</t>
        </is>
      </c>
    </row>
    <row r="20">
      <c r="A20" s="5" t="inlineStr">
        <is>
          <t>Fr</t>
        </is>
      </c>
      <c r="B20" s="18" t="n">
        <v>46157</v>
      </c>
      <c r="C20" s="19" t="n">
        <v>0.2986111111111111</v>
      </c>
      <c r="D20" s="19" t="n">
        <v>0.7152777777777778</v>
      </c>
      <c r="E20" s="19" t="n">
        <v>0.03125</v>
      </c>
      <c r="F20" s="7">
        <f>(D20-C20-E20)*24</f>
        <v/>
      </c>
      <c r="G20" s="6" t="inlineStr"/>
    </row>
    <row r="21">
      <c r="A21" s="15" t="inlineStr">
        <is>
          <t>Sa</t>
        </is>
      </c>
      <c r="B21" s="16" t="n">
        <v>46158</v>
      </c>
      <c r="C21" s="15" t="n"/>
      <c r="D21" s="15" t="n"/>
      <c r="E21" s="15" t="n"/>
      <c r="F21" s="15" t="n"/>
      <c r="G21" s="17" t="inlineStr">
        <is>
          <t>Wochenende</t>
        </is>
      </c>
    </row>
    <row r="22">
      <c r="A22" s="15" t="inlineStr">
        <is>
          <t>So</t>
        </is>
      </c>
      <c r="B22" s="16" t="n">
        <v>46159</v>
      </c>
      <c r="C22" s="15" t="n"/>
      <c r="D22" s="15" t="n"/>
      <c r="E22" s="15" t="n"/>
      <c r="F22" s="15" t="n"/>
      <c r="G22" s="17" t="inlineStr">
        <is>
          <t>Wochenende</t>
        </is>
      </c>
    </row>
    <row r="23">
      <c r="A23" s="20" t="n"/>
      <c r="B23" s="20" t="n"/>
      <c r="C23" s="20" t="n"/>
      <c r="D23" s="20" t="n"/>
      <c r="E23" s="21" t="inlineStr">
        <is>
          <t>Summe KW 20</t>
        </is>
      </c>
      <c r="F23" s="22">
        <f>SUM(F16:F22)</f>
        <v/>
      </c>
      <c r="G23" s="20" t="n"/>
    </row>
    <row r="24">
      <c r="A24" s="5" t="inlineStr">
        <is>
          <t>Mo</t>
        </is>
      </c>
      <c r="B24" s="18" t="n">
        <v>46160</v>
      </c>
      <c r="C24" s="19" t="n">
        <v>0.2916666666666667</v>
      </c>
      <c r="D24" s="19" t="n">
        <v>0.75</v>
      </c>
      <c r="E24" s="19" t="n">
        <v>0.03125</v>
      </c>
      <c r="F24" s="7">
        <f>(D24-C24-E24)*24</f>
        <v/>
      </c>
      <c r="G24" s="6" t="inlineStr"/>
    </row>
    <row r="25">
      <c r="A25" s="5" t="inlineStr">
        <is>
          <t>Di</t>
        </is>
      </c>
      <c r="B25" s="18" t="n">
        <v>46161</v>
      </c>
      <c r="C25" s="19" t="n">
        <v>0.2951388888888889</v>
      </c>
      <c r="D25" s="19" t="n">
        <v>0.7326388888888888</v>
      </c>
      <c r="E25" s="19" t="n">
        <v>0.03125</v>
      </c>
      <c r="F25" s="7">
        <f>(D25-C25-E25)*24</f>
        <v/>
      </c>
      <c r="G25" s="6" t="inlineStr"/>
    </row>
    <row r="26">
      <c r="A26" s="5" t="inlineStr">
        <is>
          <t>Mi</t>
        </is>
      </c>
      <c r="B26" s="18" t="n">
        <v>46162</v>
      </c>
      <c r="C26" s="19" t="n">
        <v>0.5034722222222222</v>
      </c>
      <c r="D26" s="19" t="n">
        <v>0.7326388888888888</v>
      </c>
      <c r="E26" s="19" t="n">
        <v>0.01041666666666667</v>
      </c>
      <c r="F26" s="7">
        <f>(D26-C26-E26)*24</f>
        <v/>
      </c>
      <c r="G26" s="6" t="inlineStr">
        <is>
          <t>Vorlesung 10:00–11:30, danach im Betrieb</t>
        </is>
      </c>
    </row>
    <row r="27">
      <c r="A27" s="5" t="inlineStr">
        <is>
          <t>Do</t>
        </is>
      </c>
      <c r="B27" s="18" t="n">
        <v>46163</v>
      </c>
      <c r="C27" s="19" t="n">
        <v>0.3125</v>
      </c>
      <c r="D27" s="19" t="n">
        <v>0.75</v>
      </c>
      <c r="E27" s="19" t="n">
        <v>0.03125</v>
      </c>
      <c r="F27" s="7">
        <f>(D27-C27-E27)*24</f>
        <v/>
      </c>
      <c r="G27" s="6" t="inlineStr"/>
    </row>
    <row r="28">
      <c r="A28" s="5" t="inlineStr">
        <is>
          <t>Fr</t>
        </is>
      </c>
      <c r="B28" s="18" t="n">
        <v>46164</v>
      </c>
      <c r="C28" s="19" t="n">
        <v>0.3020833333333333</v>
      </c>
      <c r="D28" s="19" t="n">
        <v>0.75</v>
      </c>
      <c r="E28" s="19" t="n">
        <v>0.03125</v>
      </c>
      <c r="F28" s="7">
        <f>(D28-C28-E28)*24</f>
        <v/>
      </c>
      <c r="G28" s="6" t="inlineStr"/>
    </row>
    <row r="29">
      <c r="A29" s="15" t="inlineStr">
        <is>
          <t>Sa</t>
        </is>
      </c>
      <c r="B29" s="16" t="n">
        <v>46165</v>
      </c>
      <c r="C29" s="15" t="n"/>
      <c r="D29" s="15" t="n"/>
      <c r="E29" s="15" t="n"/>
      <c r="F29" s="15" t="n"/>
      <c r="G29" s="17" t="inlineStr">
        <is>
          <t>Wochenende</t>
        </is>
      </c>
    </row>
    <row r="30">
      <c r="A30" s="15" t="inlineStr">
        <is>
          <t>So</t>
        </is>
      </c>
      <c r="B30" s="16" t="n">
        <v>46166</v>
      </c>
      <c r="C30" s="15" t="n"/>
      <c r="D30" s="15" t="n"/>
      <c r="E30" s="15" t="n"/>
      <c r="F30" s="15" t="n"/>
      <c r="G30" s="17" t="inlineStr">
        <is>
          <t>Wochenende</t>
        </is>
      </c>
    </row>
    <row r="31">
      <c r="A31" s="20" t="n"/>
      <c r="B31" s="20" t="n"/>
      <c r="C31" s="20" t="n"/>
      <c r="D31" s="20" t="n"/>
      <c r="E31" s="21" t="inlineStr">
        <is>
          <t>Summe KW 21</t>
        </is>
      </c>
      <c r="F31" s="22">
        <f>SUM(F24:F30)</f>
        <v/>
      </c>
      <c r="G31" s="20" t="n"/>
    </row>
    <row r="32">
      <c r="A32" s="23" t="inlineStr">
        <is>
          <t>Mo</t>
        </is>
      </c>
      <c r="B32" s="24" t="n">
        <v>46167</v>
      </c>
      <c r="C32" s="23" t="n"/>
      <c r="D32" s="23" t="n"/>
      <c r="E32" s="23" t="n"/>
      <c r="F32" s="23" t="n"/>
      <c r="G32" s="25" t="inlineStr">
        <is>
          <t>Pfingstmontag</t>
        </is>
      </c>
    </row>
    <row r="33">
      <c r="A33" s="5" t="inlineStr">
        <is>
          <t>Di</t>
        </is>
      </c>
      <c r="B33" s="18" t="n">
        <v>46168</v>
      </c>
      <c r="C33" s="19" t="n">
        <v>0.2916666666666667</v>
      </c>
      <c r="D33" s="19" t="n">
        <v>0.71875</v>
      </c>
      <c r="E33" s="19" t="n">
        <v>0.03125</v>
      </c>
      <c r="F33" s="7">
        <f>(D33-C33-E33)*24</f>
        <v/>
      </c>
      <c r="G33" s="6" t="inlineStr"/>
    </row>
    <row r="34">
      <c r="A34" s="5" t="inlineStr">
        <is>
          <t>Mi</t>
        </is>
      </c>
      <c r="B34" s="18" t="n">
        <v>46169</v>
      </c>
      <c r="C34" s="19" t="n">
        <v>0.5</v>
      </c>
      <c r="D34" s="19" t="n">
        <v>0.75</v>
      </c>
      <c r="E34" s="19" t="n">
        <v>0.01041666666666667</v>
      </c>
      <c r="F34" s="7">
        <f>(D34-C34-E34)*24</f>
        <v/>
      </c>
      <c r="G34" s="6" t="inlineStr">
        <is>
          <t>Vorlesung 10:00–11:30, danach im Betrieb</t>
        </is>
      </c>
    </row>
    <row r="35">
      <c r="A35" s="5" t="inlineStr">
        <is>
          <t>Do</t>
        </is>
      </c>
      <c r="B35" s="18" t="n">
        <v>46170</v>
      </c>
      <c r="C35" s="19" t="n">
        <v>0.3020833333333333</v>
      </c>
      <c r="D35" s="19" t="n">
        <v>0.7291666666666666</v>
      </c>
      <c r="E35" s="19" t="n">
        <v>0.03125</v>
      </c>
      <c r="F35" s="7">
        <f>(D35-C35-E35)*24</f>
        <v/>
      </c>
      <c r="G35" s="6" t="inlineStr"/>
    </row>
    <row r="36">
      <c r="A36" s="5" t="inlineStr">
        <is>
          <t>Fr</t>
        </is>
      </c>
      <c r="B36" s="18" t="n">
        <v>46171</v>
      </c>
      <c r="C36" s="19" t="n">
        <v>0.2951388888888889</v>
      </c>
      <c r="D36" s="19" t="n">
        <v>0.7430555555555556</v>
      </c>
      <c r="E36" s="19" t="n">
        <v>0.03125</v>
      </c>
      <c r="F36" s="7">
        <f>(D36-C36-E36)*24</f>
        <v/>
      </c>
      <c r="G36" s="6" t="inlineStr"/>
    </row>
    <row r="37">
      <c r="A37" s="15" t="inlineStr">
        <is>
          <t>Sa</t>
        </is>
      </c>
      <c r="B37" s="16" t="n">
        <v>46172</v>
      </c>
      <c r="C37" s="15" t="n"/>
      <c r="D37" s="15" t="n"/>
      <c r="E37" s="15" t="n"/>
      <c r="F37" s="15" t="n"/>
      <c r="G37" s="17" t="inlineStr">
        <is>
          <t>Wochenende</t>
        </is>
      </c>
    </row>
    <row r="38">
      <c r="A38" s="15" t="inlineStr">
        <is>
          <t>So</t>
        </is>
      </c>
      <c r="B38" s="16" t="n">
        <v>46173</v>
      </c>
      <c r="C38" s="15" t="n"/>
      <c r="D38" s="15" t="n"/>
      <c r="E38" s="15" t="n"/>
      <c r="F38" s="15" t="n"/>
      <c r="G38" s="17" t="inlineStr">
        <is>
          <t>Wochenende</t>
        </is>
      </c>
    </row>
    <row r="39">
      <c r="A39" s="20" t="n"/>
      <c r="B39" s="20" t="n"/>
      <c r="C39" s="20" t="n"/>
      <c r="D39" s="20" t="n"/>
      <c r="E39" s="21" t="inlineStr">
        <is>
          <t>Summe KW 22</t>
        </is>
      </c>
      <c r="F39" s="22">
        <f>SUM(F32:F38)</f>
        <v/>
      </c>
      <c r="G39" s="20" t="n"/>
    </row>
    <row r="40">
      <c r="E40" s="9" t="inlineStr">
        <is>
          <t>Summe</t>
        </is>
      </c>
      <c r="F40" s="11">
        <f>F15+F23+F31+F39</f>
        <v/>
      </c>
      <c r="G40" s="27" t="inlineStr">
        <is>
          <t>Stunden netto im Monat</t>
        </is>
      </c>
    </row>
    <row r="42">
      <c r="A42" s="28" t="n"/>
      <c r="B42" s="28" t="n"/>
      <c r="C42" s="28" t="n"/>
      <c r="E42" s="28" t="n"/>
      <c r="F42" s="28" t="n"/>
      <c r="G42" s="28" t="n"/>
      <c r="H42" s="28" t="n"/>
    </row>
    <row r="43">
      <c r="A43" s="29" t="inlineStr">
        <is>
          <t>Datum, Unterschrift Praktikant</t>
        </is>
      </c>
      <c r="E43" s="29" t="inlineStr">
        <is>
          <t>Datum, Unterschrift und Stempel des Betriebes</t>
        </is>
      </c>
    </row>
  </sheetData>
  <mergeCells count="4">
    <mergeCell ref="A1:C1"/>
    <mergeCell ref="D2:G2"/>
    <mergeCell ref="D1:G1"/>
    <mergeCell ref="A2:C2"/>
  </mergeCells>
  <pageMargins left="0.5" right="0.5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1" customWidth="1" min="3" max="3"/>
    <col width="11" customWidth="1" min="4" max="4"/>
    <col width="10" customWidth="1" min="5" max="5"/>
    <col width="12" customWidth="1" min="6" max="6"/>
    <col width="34" customWidth="1" min="7" max="7"/>
  </cols>
  <sheetData>
    <row r="1" ht="20" customHeight="1">
      <c r="A1" s="1" t="inlineStr">
        <is>
          <t>Zeiterfassung Praxissemester</t>
        </is>
      </c>
      <c r="D1" s="2" t="inlineStr">
        <is>
          <t>Houcine Hassine · Matrikelnummer 3399727</t>
        </is>
      </c>
    </row>
    <row r="2">
      <c r="A2" s="3" t="inlineStr">
        <is>
          <t>Juni 2026</t>
        </is>
      </c>
      <c r="D2" s="2" t="inlineStr">
        <is>
          <t>Mechanische Werkstätte Schmidt e.K., Essing</t>
        </is>
      </c>
    </row>
    <row r="4" ht="20" customHeight="1">
      <c r="A4" s="4" t="inlineStr">
        <is>
          <t>Tag</t>
        </is>
      </c>
      <c r="B4" s="4" t="inlineStr">
        <is>
          <t>Datum</t>
        </is>
      </c>
      <c r="C4" s="4" t="inlineStr">
        <is>
          <t>Beginn</t>
        </is>
      </c>
      <c r="D4" s="4" t="inlineStr">
        <is>
          <t>Ende</t>
        </is>
      </c>
      <c r="E4" s="4" t="inlineStr">
        <is>
          <t>Pause</t>
        </is>
      </c>
      <c r="F4" s="4" t="inlineStr">
        <is>
          <t>Std netto</t>
        </is>
      </c>
      <c r="G4" s="4" t="inlineStr">
        <is>
          <t>Bemerkung</t>
        </is>
      </c>
    </row>
    <row r="5">
      <c r="A5" s="5" t="inlineStr">
        <is>
          <t>Mo</t>
        </is>
      </c>
      <c r="B5" s="18" t="n">
        <v>46174</v>
      </c>
      <c r="C5" s="19" t="n">
        <v>0.3055555555555556</v>
      </c>
      <c r="D5" s="19" t="n">
        <v>0.6701388888888888</v>
      </c>
      <c r="E5" s="19" t="n">
        <v>0.02083333333333333</v>
      </c>
      <c r="F5" s="7">
        <f>(D5-C5-E5)*24</f>
        <v/>
      </c>
      <c r="G5" s="6" t="inlineStr"/>
    </row>
    <row r="6">
      <c r="A6" s="5" t="inlineStr">
        <is>
          <t>Di</t>
        </is>
      </c>
      <c r="B6" s="18" t="n">
        <v>46175</v>
      </c>
      <c r="C6" s="19" t="n">
        <v>0.2986111111111111</v>
      </c>
      <c r="D6" s="19" t="n">
        <v>0.6215277777777778</v>
      </c>
      <c r="E6" s="19" t="n">
        <v>0.02083333333333333</v>
      </c>
      <c r="F6" s="7">
        <f>(D6-C6-E6)*24</f>
        <v/>
      </c>
      <c r="G6" s="6" t="inlineStr"/>
    </row>
    <row r="7">
      <c r="A7" s="5" t="inlineStr">
        <is>
          <t>Mi</t>
        </is>
      </c>
      <c r="B7" s="18" t="n">
        <v>46176</v>
      </c>
      <c r="C7" s="19" t="n">
        <v>0.4895833333333333</v>
      </c>
      <c r="D7" s="19" t="n">
        <v>0.75</v>
      </c>
      <c r="E7" s="19" t="n">
        <v>0.01041666666666667</v>
      </c>
      <c r="F7" s="7">
        <f>(D7-C7-E7)*24</f>
        <v/>
      </c>
      <c r="G7" s="6" t="inlineStr">
        <is>
          <t>Vorlesung 10:00–11:30, danach im Betrieb</t>
        </is>
      </c>
    </row>
    <row r="8">
      <c r="A8" s="23" t="inlineStr">
        <is>
          <t>Do</t>
        </is>
      </c>
      <c r="B8" s="24" t="n">
        <v>46177</v>
      </c>
      <c r="C8" s="23" t="n"/>
      <c r="D8" s="23" t="n"/>
      <c r="E8" s="23" t="n"/>
      <c r="F8" s="23" t="n"/>
      <c r="G8" s="25" t="inlineStr">
        <is>
          <t>Fronleichnam</t>
        </is>
      </c>
    </row>
    <row r="9">
      <c r="A9" s="5" t="inlineStr">
        <is>
          <t>Fr</t>
        </is>
      </c>
      <c r="B9" s="18" t="n">
        <v>46178</v>
      </c>
      <c r="C9" s="19" t="n">
        <v>0.3125</v>
      </c>
      <c r="D9" s="19" t="n">
        <v>0.6458333333333334</v>
      </c>
      <c r="E9" s="19" t="n">
        <v>0.02083333333333333</v>
      </c>
      <c r="F9" s="7">
        <f>(D9-C9-E9)*24</f>
        <v/>
      </c>
      <c r="G9" s="6" t="inlineStr"/>
    </row>
    <row r="10">
      <c r="A10" s="15" t="inlineStr">
        <is>
          <t>Sa</t>
        </is>
      </c>
      <c r="B10" s="16" t="n">
        <v>46179</v>
      </c>
      <c r="C10" s="15" t="n"/>
      <c r="D10" s="15" t="n"/>
      <c r="E10" s="15" t="n"/>
      <c r="F10" s="15" t="n"/>
      <c r="G10" s="17" t="inlineStr">
        <is>
          <t>Wochenende</t>
        </is>
      </c>
    </row>
    <row r="11">
      <c r="A11" s="15" t="inlineStr">
        <is>
          <t>So</t>
        </is>
      </c>
      <c r="B11" s="16" t="n">
        <v>46180</v>
      </c>
      <c r="C11" s="15" t="n"/>
      <c r="D11" s="15" t="n"/>
      <c r="E11" s="15" t="n"/>
      <c r="F11" s="15" t="n"/>
      <c r="G11" s="17" t="inlineStr">
        <is>
          <t>Wochenende</t>
        </is>
      </c>
    </row>
    <row r="12">
      <c r="A12" s="20" t="n"/>
      <c r="B12" s="20" t="n"/>
      <c r="C12" s="20" t="n"/>
      <c r="D12" s="20" t="n"/>
      <c r="E12" s="21" t="inlineStr">
        <is>
          <t>Summe KW 23</t>
        </is>
      </c>
      <c r="F12" s="22">
        <f>SUM(F5:F11)</f>
        <v/>
      </c>
      <c r="G12" s="20" t="n"/>
    </row>
    <row r="13">
      <c r="A13" s="5" t="inlineStr">
        <is>
          <t>Mo</t>
        </is>
      </c>
      <c r="B13" s="18" t="n">
        <v>46181</v>
      </c>
      <c r="C13" s="19" t="n">
        <v>0.2951388888888889</v>
      </c>
      <c r="D13" s="19" t="n">
        <v>0.6493055555555556</v>
      </c>
      <c r="E13" s="19" t="n">
        <v>0.02083333333333333</v>
      </c>
      <c r="F13" s="7">
        <f>(D13-C13-E13)*24</f>
        <v/>
      </c>
      <c r="G13" s="6" t="inlineStr"/>
    </row>
    <row r="14">
      <c r="A14" s="5" t="inlineStr">
        <is>
          <t>Di</t>
        </is>
      </c>
      <c r="B14" s="18" t="n">
        <v>46182</v>
      </c>
      <c r="C14" s="19" t="n">
        <v>0.3090277777777778</v>
      </c>
      <c r="D14" s="19" t="n">
        <v>0.6631944444444444</v>
      </c>
      <c r="E14" s="19" t="n">
        <v>0.02083333333333333</v>
      </c>
      <c r="F14" s="7">
        <f>(D14-C14-E14)*24</f>
        <v/>
      </c>
      <c r="G14" s="6" t="inlineStr"/>
    </row>
    <row r="15">
      <c r="A15" s="5" t="inlineStr">
        <is>
          <t>Mi</t>
        </is>
      </c>
      <c r="B15" s="18" t="n">
        <v>46183</v>
      </c>
      <c r="C15" s="19" t="n">
        <v>0.5069444444444444</v>
      </c>
      <c r="D15" s="19" t="n">
        <v>0.7256944444444444</v>
      </c>
      <c r="E15" s="19" t="n">
        <v>0.01041666666666667</v>
      </c>
      <c r="F15" s="7">
        <f>(D15-C15-E15)*24</f>
        <v/>
      </c>
      <c r="G15" s="6" t="inlineStr">
        <is>
          <t>Vorlesung 10:00–11:30, danach im Betrieb</t>
        </is>
      </c>
    </row>
    <row r="16">
      <c r="A16" s="5" t="inlineStr">
        <is>
          <t>Do</t>
        </is>
      </c>
      <c r="B16" s="18" t="n">
        <v>46184</v>
      </c>
      <c r="C16" s="19" t="n">
        <v>0.2916666666666667</v>
      </c>
      <c r="D16" s="19" t="n">
        <v>0.625</v>
      </c>
      <c r="E16" s="19" t="n">
        <v>0.02083333333333333</v>
      </c>
      <c r="F16" s="7">
        <f>(D16-C16-E16)*24</f>
        <v/>
      </c>
      <c r="G16" s="6" t="inlineStr"/>
    </row>
    <row r="17">
      <c r="A17" s="5" t="inlineStr">
        <is>
          <t>Fr</t>
        </is>
      </c>
      <c r="B17" s="18" t="n">
        <v>46185</v>
      </c>
      <c r="C17" s="19" t="n">
        <v>0.3020833333333333</v>
      </c>
      <c r="D17" s="19" t="n">
        <v>0.625</v>
      </c>
      <c r="E17" s="19" t="n">
        <v>0.02083333333333333</v>
      </c>
      <c r="F17" s="7">
        <f>(D17-C17-E17)*24</f>
        <v/>
      </c>
      <c r="G17" s="6" t="inlineStr"/>
    </row>
    <row r="18">
      <c r="A18" s="15" t="inlineStr">
        <is>
          <t>Sa</t>
        </is>
      </c>
      <c r="B18" s="16" t="n">
        <v>46186</v>
      </c>
      <c r="C18" s="15" t="n"/>
      <c r="D18" s="15" t="n"/>
      <c r="E18" s="15" t="n"/>
      <c r="F18" s="15" t="n"/>
      <c r="G18" s="17" t="inlineStr">
        <is>
          <t>Wochenende</t>
        </is>
      </c>
    </row>
    <row r="19">
      <c r="A19" s="15" t="inlineStr">
        <is>
          <t>So</t>
        </is>
      </c>
      <c r="B19" s="16" t="n">
        <v>46187</v>
      </c>
      <c r="C19" s="15" t="n"/>
      <c r="D19" s="15" t="n"/>
      <c r="E19" s="15" t="n"/>
      <c r="F19" s="15" t="n"/>
      <c r="G19" s="17" t="inlineStr">
        <is>
          <t>Wochenende</t>
        </is>
      </c>
    </row>
    <row r="20">
      <c r="A20" s="20" t="n"/>
      <c r="B20" s="20" t="n"/>
      <c r="C20" s="20" t="n"/>
      <c r="D20" s="20" t="n"/>
      <c r="E20" s="21" t="inlineStr">
        <is>
          <t>Summe KW 24</t>
        </is>
      </c>
      <c r="F20" s="22">
        <f>SUM(F13:F19)</f>
        <v/>
      </c>
      <c r="G20" s="20" t="n"/>
    </row>
    <row r="21">
      <c r="A21" s="5" t="inlineStr">
        <is>
          <t>Mo</t>
        </is>
      </c>
      <c r="B21" s="18" t="n">
        <v>46188</v>
      </c>
      <c r="C21" s="19" t="n">
        <v>0.2986111111111111</v>
      </c>
      <c r="D21" s="19" t="n">
        <v>0.6631944444444444</v>
      </c>
      <c r="E21" s="19" t="n">
        <v>0.02083333333333333</v>
      </c>
      <c r="F21" s="7">
        <f>(D21-C21-E21)*24</f>
        <v/>
      </c>
      <c r="G21" s="6" t="inlineStr"/>
    </row>
    <row r="22">
      <c r="A22" s="5" t="inlineStr">
        <is>
          <t>Di</t>
        </is>
      </c>
      <c r="B22" s="18" t="n">
        <v>46189</v>
      </c>
      <c r="C22" s="19" t="n">
        <v>0.3055555555555556</v>
      </c>
      <c r="D22" s="19" t="n">
        <v>0.6493055555555556</v>
      </c>
      <c r="E22" s="19" t="n">
        <v>0.02083333333333333</v>
      </c>
      <c r="F22" s="7">
        <f>(D22-C22-E22)*24</f>
        <v/>
      </c>
      <c r="G22" s="6" t="inlineStr"/>
    </row>
    <row r="23">
      <c r="A23" s="5" t="inlineStr">
        <is>
          <t>Mi</t>
        </is>
      </c>
      <c r="B23" s="18" t="n">
        <v>46190</v>
      </c>
      <c r="C23" s="19" t="n">
        <v>0.4965277777777778</v>
      </c>
      <c r="D23" s="19" t="n">
        <v>0.7256944444444444</v>
      </c>
      <c r="E23" s="19" t="n">
        <v>0.01041666666666667</v>
      </c>
      <c r="F23" s="7">
        <f>(D23-C23-E23)*24</f>
        <v/>
      </c>
      <c r="G23" s="6" t="inlineStr">
        <is>
          <t>Vorlesung 10:00–11:30, danach im Betrieb</t>
        </is>
      </c>
    </row>
    <row r="24">
      <c r="A24" s="5" t="inlineStr">
        <is>
          <t>Do</t>
        </is>
      </c>
      <c r="B24" s="18" t="n">
        <v>46191</v>
      </c>
      <c r="C24" s="19" t="n">
        <v>0.2951388888888889</v>
      </c>
      <c r="D24" s="19" t="n">
        <v>0.6388888888888888</v>
      </c>
      <c r="E24" s="19" t="n">
        <v>0.02083333333333333</v>
      </c>
      <c r="F24" s="7">
        <f>(D24-C24-E24)*24</f>
        <v/>
      </c>
      <c r="G24" s="6" t="inlineStr"/>
    </row>
    <row r="25">
      <c r="A25" s="5" t="inlineStr">
        <is>
          <t>Fr</t>
        </is>
      </c>
      <c r="B25" s="18" t="n">
        <v>46192</v>
      </c>
      <c r="C25" s="19" t="n">
        <v>0.3125</v>
      </c>
      <c r="D25" s="19" t="n">
        <v>0.6666666666666666</v>
      </c>
      <c r="E25" s="19" t="n">
        <v>0.02083333333333333</v>
      </c>
      <c r="F25" s="7">
        <f>(D25-C25-E25)*24</f>
        <v/>
      </c>
      <c r="G25" s="6" t="inlineStr"/>
    </row>
    <row r="26">
      <c r="A26" s="15" t="inlineStr">
        <is>
          <t>Sa</t>
        </is>
      </c>
      <c r="B26" s="16" t="n">
        <v>46193</v>
      </c>
      <c r="C26" s="15" t="n"/>
      <c r="D26" s="15" t="n"/>
      <c r="E26" s="15" t="n"/>
      <c r="F26" s="15" t="n"/>
      <c r="G26" s="17" t="inlineStr">
        <is>
          <t>Wochenende</t>
        </is>
      </c>
    </row>
    <row r="27">
      <c r="A27" s="15" t="inlineStr">
        <is>
          <t>So</t>
        </is>
      </c>
      <c r="B27" s="16" t="n">
        <v>46194</v>
      </c>
      <c r="C27" s="15" t="n"/>
      <c r="D27" s="15" t="n"/>
      <c r="E27" s="15" t="n"/>
      <c r="F27" s="15" t="n"/>
      <c r="G27" s="17" t="inlineStr">
        <is>
          <t>Wochenende</t>
        </is>
      </c>
    </row>
    <row r="28">
      <c r="A28" s="20" t="n"/>
      <c r="B28" s="20" t="n"/>
      <c r="C28" s="20" t="n"/>
      <c r="D28" s="20" t="n"/>
      <c r="E28" s="21" t="inlineStr">
        <is>
          <t>Summe KW 25</t>
        </is>
      </c>
      <c r="F28" s="22">
        <f>SUM(F21:F27)</f>
        <v/>
      </c>
      <c r="G28" s="20" t="n"/>
    </row>
    <row r="29">
      <c r="A29" s="5" t="inlineStr">
        <is>
          <t>Mo</t>
        </is>
      </c>
      <c r="B29" s="18" t="n">
        <v>46195</v>
      </c>
      <c r="C29" s="19" t="n">
        <v>0.3020833333333333</v>
      </c>
      <c r="D29" s="19" t="n">
        <v>0.6354166666666666</v>
      </c>
      <c r="E29" s="19" t="n">
        <v>0.02083333333333333</v>
      </c>
      <c r="F29" s="7">
        <f>(D29-C29-E29)*24</f>
        <v/>
      </c>
      <c r="G29" s="6" t="inlineStr"/>
    </row>
    <row r="30">
      <c r="A30" s="5" t="inlineStr">
        <is>
          <t>Di</t>
        </is>
      </c>
      <c r="B30" s="18" t="n">
        <v>46196</v>
      </c>
      <c r="C30" s="19" t="n">
        <v>0.2916666666666667</v>
      </c>
      <c r="D30" s="19" t="n">
        <v>0.625</v>
      </c>
      <c r="E30" s="19" t="n">
        <v>0.02083333333333333</v>
      </c>
      <c r="F30" s="7">
        <f>(D30-C30-E30)*24</f>
        <v/>
      </c>
      <c r="G30" s="6" t="inlineStr"/>
    </row>
    <row r="31">
      <c r="A31" s="5" t="inlineStr">
        <is>
          <t>Mi</t>
        </is>
      </c>
      <c r="B31" s="18" t="n">
        <v>46197</v>
      </c>
      <c r="C31" s="19" t="n">
        <v>0.5</v>
      </c>
      <c r="D31" s="19" t="n">
        <v>0.75</v>
      </c>
      <c r="E31" s="19" t="n">
        <v>0.01041666666666667</v>
      </c>
      <c r="F31" s="7">
        <f>(D31-C31-E31)*24</f>
        <v/>
      </c>
      <c r="G31" s="6" t="inlineStr">
        <is>
          <t>Vorlesung 10:00–11:30, danach im Betrieb</t>
        </is>
      </c>
    </row>
    <row r="32">
      <c r="A32" s="5" t="inlineStr">
        <is>
          <t>Do</t>
        </is>
      </c>
      <c r="B32" s="18" t="n">
        <v>46198</v>
      </c>
      <c r="C32" s="19" t="n">
        <v>0.3020833333333333</v>
      </c>
      <c r="D32" s="19" t="n">
        <v>0.65625</v>
      </c>
      <c r="E32" s="19" t="n">
        <v>0.02083333333333333</v>
      </c>
      <c r="F32" s="7">
        <f>(D32-C32-E32)*24</f>
        <v/>
      </c>
      <c r="G32" s="6" t="inlineStr"/>
    </row>
    <row r="33">
      <c r="A33" s="5" t="inlineStr">
        <is>
          <t>Fr</t>
        </is>
      </c>
      <c r="B33" s="18" t="n">
        <v>46199</v>
      </c>
      <c r="C33" s="19" t="n">
        <v>0.2951388888888889</v>
      </c>
      <c r="D33" s="19" t="n">
        <v>0.6597222222222222</v>
      </c>
      <c r="E33" s="19" t="n">
        <v>0.02083333333333333</v>
      </c>
      <c r="F33" s="7">
        <f>(D33-C33-E33)*24</f>
        <v/>
      </c>
      <c r="G33" s="6" t="inlineStr"/>
    </row>
    <row r="34">
      <c r="A34" s="15" t="inlineStr">
        <is>
          <t>Sa</t>
        </is>
      </c>
      <c r="B34" s="16" t="n">
        <v>46200</v>
      </c>
      <c r="C34" s="15" t="n"/>
      <c r="D34" s="15" t="n"/>
      <c r="E34" s="15" t="n"/>
      <c r="F34" s="15" t="n"/>
      <c r="G34" s="17" t="inlineStr">
        <is>
          <t>Wochenende</t>
        </is>
      </c>
    </row>
    <row r="35">
      <c r="A35" s="15" t="inlineStr">
        <is>
          <t>So</t>
        </is>
      </c>
      <c r="B35" s="16" t="n">
        <v>46201</v>
      </c>
      <c r="C35" s="15" t="n"/>
      <c r="D35" s="15" t="n"/>
      <c r="E35" s="15" t="n"/>
      <c r="F35" s="15" t="n"/>
      <c r="G35" s="17" t="inlineStr">
        <is>
          <t>Wochenende</t>
        </is>
      </c>
    </row>
    <row r="36">
      <c r="A36" s="20" t="n"/>
      <c r="B36" s="20" t="n"/>
      <c r="C36" s="20" t="n"/>
      <c r="D36" s="20" t="n"/>
      <c r="E36" s="21" t="inlineStr">
        <is>
          <t>Summe KW 26</t>
        </is>
      </c>
      <c r="F36" s="22">
        <f>SUM(F29:F35)</f>
        <v/>
      </c>
      <c r="G36" s="20" t="n"/>
    </row>
    <row r="37">
      <c r="A37" s="5" t="inlineStr">
        <is>
          <t>Mo</t>
        </is>
      </c>
      <c r="B37" s="18" t="n">
        <v>46202</v>
      </c>
      <c r="C37" s="19" t="n">
        <v>0.3055555555555556</v>
      </c>
      <c r="D37" s="19" t="n">
        <v>0.6284722222222222</v>
      </c>
      <c r="E37" s="19" t="n">
        <v>0.02083333333333333</v>
      </c>
      <c r="F37" s="7">
        <f>(D37-C37-E37)*24</f>
        <v/>
      </c>
      <c r="G37" s="6" t="inlineStr"/>
    </row>
    <row r="38">
      <c r="A38" s="5" t="inlineStr">
        <is>
          <t>Di</t>
        </is>
      </c>
      <c r="B38" s="18" t="n">
        <v>46203</v>
      </c>
      <c r="C38" s="19" t="n">
        <v>0.2986111111111111</v>
      </c>
      <c r="D38" s="19" t="n">
        <v>0.6423611111111112</v>
      </c>
      <c r="E38" s="19" t="n">
        <v>0.02083333333333333</v>
      </c>
      <c r="F38" s="7">
        <f>(D38-C38-E38)*24</f>
        <v/>
      </c>
      <c r="G38" s="6" t="inlineStr"/>
    </row>
    <row r="39">
      <c r="A39" s="20" t="n"/>
      <c r="B39" s="20" t="n"/>
      <c r="C39" s="20" t="n"/>
      <c r="D39" s="20" t="n"/>
      <c r="E39" s="21" t="inlineStr">
        <is>
          <t>Summe KW 27</t>
        </is>
      </c>
      <c r="F39" s="22">
        <f>SUM(F37:F38)</f>
        <v/>
      </c>
      <c r="G39" s="26" t="inlineStr">
        <is>
          <t>anteilig – Woche reicht in den Nachbarmonat</t>
        </is>
      </c>
    </row>
    <row r="40">
      <c r="E40" s="9" t="inlineStr">
        <is>
          <t>Summe</t>
        </is>
      </c>
      <c r="F40" s="11">
        <f>F12+F20+F28+F36+F39</f>
        <v/>
      </c>
      <c r="G40" s="27" t="inlineStr">
        <is>
          <t>Stunden netto im Monat</t>
        </is>
      </c>
    </row>
    <row r="42">
      <c r="A42" s="28" t="n"/>
      <c r="B42" s="28" t="n"/>
      <c r="C42" s="28" t="n"/>
      <c r="E42" s="28" t="n"/>
      <c r="F42" s="28" t="n"/>
      <c r="G42" s="28" t="n"/>
      <c r="H42" s="28" t="n"/>
    </row>
    <row r="43">
      <c r="A43" s="29" t="inlineStr">
        <is>
          <t>Datum, Unterschrift Praktikant</t>
        </is>
      </c>
      <c r="E43" s="29" t="inlineStr">
        <is>
          <t>Datum, Unterschrift und Stempel des Betriebes</t>
        </is>
      </c>
    </row>
  </sheetData>
  <mergeCells count="4">
    <mergeCell ref="A1:C1"/>
    <mergeCell ref="D2:G2"/>
    <mergeCell ref="D1:G1"/>
    <mergeCell ref="A2:C2"/>
  </mergeCells>
  <pageMargins left="0.5" right="0.5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1" customWidth="1" min="3" max="3"/>
    <col width="11" customWidth="1" min="4" max="4"/>
    <col width="10" customWidth="1" min="5" max="5"/>
    <col width="12" customWidth="1" min="6" max="6"/>
    <col width="34" customWidth="1" min="7" max="7"/>
  </cols>
  <sheetData>
    <row r="1" ht="20" customHeight="1">
      <c r="A1" s="1" t="inlineStr">
        <is>
          <t>Zeiterfassung Praxissemester</t>
        </is>
      </c>
      <c r="D1" s="2" t="inlineStr">
        <is>
          <t>Houcine Hassine · Matrikelnummer 3399727</t>
        </is>
      </c>
    </row>
    <row r="2">
      <c r="A2" s="3" t="inlineStr">
        <is>
          <t>Juli 2026</t>
        </is>
      </c>
      <c r="D2" s="2" t="inlineStr">
        <is>
          <t>Mechanische Werkstätte Schmidt e.K., Essing</t>
        </is>
      </c>
    </row>
    <row r="4" ht="20" customHeight="1">
      <c r="A4" s="4" t="inlineStr">
        <is>
          <t>Tag</t>
        </is>
      </c>
      <c r="B4" s="4" t="inlineStr">
        <is>
          <t>Datum</t>
        </is>
      </c>
      <c r="C4" s="4" t="inlineStr">
        <is>
          <t>Beginn</t>
        </is>
      </c>
      <c r="D4" s="4" t="inlineStr">
        <is>
          <t>Ende</t>
        </is>
      </c>
      <c r="E4" s="4" t="inlineStr">
        <is>
          <t>Pause</t>
        </is>
      </c>
      <c r="F4" s="4" t="inlineStr">
        <is>
          <t>Std netto</t>
        </is>
      </c>
      <c r="G4" s="4" t="inlineStr">
        <is>
          <t>Bemerkung</t>
        </is>
      </c>
    </row>
    <row r="5">
      <c r="A5" s="5" t="inlineStr">
        <is>
          <t>Mi</t>
        </is>
      </c>
      <c r="B5" s="18" t="n">
        <v>46204</v>
      </c>
      <c r="C5" s="19" t="n">
        <v>0.4930555555555556</v>
      </c>
      <c r="D5" s="19" t="n">
        <v>0.7326388888888888</v>
      </c>
      <c r="E5" s="19" t="n">
        <v>0.01041666666666667</v>
      </c>
      <c r="F5" s="7">
        <f>(D5-C5-E5)*24</f>
        <v/>
      </c>
      <c r="G5" s="6" t="inlineStr">
        <is>
          <t>Vorlesung 10:00–11:30, danach im Betrieb</t>
        </is>
      </c>
    </row>
    <row r="6">
      <c r="A6" s="5" t="inlineStr">
        <is>
          <t>Do</t>
        </is>
      </c>
      <c r="B6" s="18" t="n">
        <v>46205</v>
      </c>
      <c r="C6" s="19" t="n">
        <v>0.3125</v>
      </c>
      <c r="D6" s="19" t="n">
        <v>0.6145833333333334</v>
      </c>
      <c r="E6" s="19" t="n">
        <v>0.02083333333333333</v>
      </c>
      <c r="F6" s="7">
        <f>(D6-C6-E6)*24</f>
        <v/>
      </c>
      <c r="G6" s="6" t="inlineStr"/>
    </row>
    <row r="7">
      <c r="A7" s="23" t="inlineStr">
        <is>
          <t>Fr</t>
        </is>
      </c>
      <c r="B7" s="24" t="n">
        <v>46206</v>
      </c>
      <c r="C7" s="23" t="n"/>
      <c r="D7" s="23" t="n"/>
      <c r="E7" s="23" t="n"/>
      <c r="F7" s="23" t="n"/>
      <c r="G7" s="25" t="inlineStr">
        <is>
          <t>Krank</t>
        </is>
      </c>
    </row>
    <row r="8">
      <c r="A8" s="15" t="inlineStr">
        <is>
          <t>Sa</t>
        </is>
      </c>
      <c r="B8" s="16" t="n">
        <v>46207</v>
      </c>
      <c r="C8" s="15" t="n"/>
      <c r="D8" s="15" t="n"/>
      <c r="E8" s="15" t="n"/>
      <c r="F8" s="15" t="n"/>
      <c r="G8" s="17" t="inlineStr">
        <is>
          <t>Wochenende</t>
        </is>
      </c>
    </row>
    <row r="9">
      <c r="A9" s="15" t="inlineStr">
        <is>
          <t>So</t>
        </is>
      </c>
      <c r="B9" s="16" t="n">
        <v>46208</v>
      </c>
      <c r="C9" s="15" t="n"/>
      <c r="D9" s="15" t="n"/>
      <c r="E9" s="15" t="n"/>
      <c r="F9" s="15" t="n"/>
      <c r="G9" s="17" t="inlineStr">
        <is>
          <t>Wochenende</t>
        </is>
      </c>
    </row>
    <row r="10">
      <c r="A10" s="20" t="n"/>
      <c r="B10" s="20" t="n"/>
      <c r="C10" s="20" t="n"/>
      <c r="D10" s="20" t="n"/>
      <c r="E10" s="21" t="inlineStr">
        <is>
          <t>Summe KW 27</t>
        </is>
      </c>
      <c r="F10" s="22">
        <f>SUM(F5:F9)</f>
        <v/>
      </c>
      <c r="G10" s="26" t="inlineStr">
        <is>
          <t>anteilig – Woche reicht in den Nachbarmonat</t>
        </is>
      </c>
    </row>
    <row r="11">
      <c r="A11" s="5" t="inlineStr">
        <is>
          <t>Mo</t>
        </is>
      </c>
      <c r="B11" s="18" t="n">
        <v>46209</v>
      </c>
      <c r="C11" s="19" t="n">
        <v>0.2951388888888889</v>
      </c>
      <c r="D11" s="19" t="n">
        <v>0.5972222222222222</v>
      </c>
      <c r="E11" s="19" t="n">
        <v>0.02083333333333333</v>
      </c>
      <c r="F11" s="7">
        <f>(D11-C11-E11)*24</f>
        <v/>
      </c>
      <c r="G11" s="6" t="inlineStr"/>
    </row>
    <row r="12">
      <c r="A12" s="5" t="inlineStr">
        <is>
          <t>Di</t>
        </is>
      </c>
      <c r="B12" s="18" t="n">
        <v>46210</v>
      </c>
      <c r="C12" s="19" t="n">
        <v>0.3090277777777778</v>
      </c>
      <c r="D12" s="19" t="n">
        <v>0.6006944444444444</v>
      </c>
      <c r="E12" s="19" t="n">
        <v>0.02083333333333333</v>
      </c>
      <c r="F12" s="7">
        <f>(D12-C12-E12)*24</f>
        <v/>
      </c>
      <c r="G12" s="6" t="inlineStr"/>
    </row>
    <row r="13">
      <c r="A13" s="5" t="inlineStr">
        <is>
          <t>Mi</t>
        </is>
      </c>
      <c r="B13" s="18" t="n">
        <v>46211</v>
      </c>
      <c r="C13" s="19" t="n">
        <v>0.2916666666666667</v>
      </c>
      <c r="D13" s="19" t="n">
        <v>0.6041666666666666</v>
      </c>
      <c r="E13" s="19" t="n">
        <v>0.02083333333333333</v>
      </c>
      <c r="F13" s="7">
        <f>(D13-C13-E13)*24</f>
        <v/>
      </c>
      <c r="G13" s="6" t="inlineStr"/>
    </row>
    <row r="14">
      <c r="A14" s="5" t="inlineStr">
        <is>
          <t>Do</t>
        </is>
      </c>
      <c r="B14" s="18" t="n">
        <v>46212</v>
      </c>
      <c r="C14" s="19" t="n">
        <v>0.3020833333333333</v>
      </c>
      <c r="D14" s="19" t="n">
        <v>0.6145833333333334</v>
      </c>
      <c r="E14" s="19" t="n">
        <v>0.02083333333333333</v>
      </c>
      <c r="F14" s="7">
        <f>(D14-C14-E14)*24</f>
        <v/>
      </c>
      <c r="G14" s="6" t="inlineStr"/>
    </row>
    <row r="15">
      <c r="A15" s="5" t="inlineStr">
        <is>
          <t>Fr</t>
        </is>
      </c>
      <c r="B15" s="18" t="n">
        <v>46213</v>
      </c>
      <c r="C15" s="19" t="n">
        <v>0.2986111111111111</v>
      </c>
      <c r="D15" s="19" t="n">
        <v>0.5902777777777778</v>
      </c>
      <c r="E15" s="19" t="n">
        <v>0.02083333333333333</v>
      </c>
      <c r="F15" s="7">
        <f>(D15-C15-E15)*24</f>
        <v/>
      </c>
      <c r="G15" s="6" t="inlineStr"/>
    </row>
    <row r="16">
      <c r="A16" s="15" t="inlineStr">
        <is>
          <t>Sa</t>
        </is>
      </c>
      <c r="B16" s="16" t="n">
        <v>46214</v>
      </c>
      <c r="C16" s="15" t="n"/>
      <c r="D16" s="15" t="n"/>
      <c r="E16" s="15" t="n"/>
      <c r="F16" s="15" t="n"/>
      <c r="G16" s="17" t="inlineStr">
        <is>
          <t>Wochenende</t>
        </is>
      </c>
    </row>
    <row r="17">
      <c r="A17" s="15" t="inlineStr">
        <is>
          <t>So</t>
        </is>
      </c>
      <c r="B17" s="16" t="n">
        <v>46215</v>
      </c>
      <c r="C17" s="15" t="n"/>
      <c r="D17" s="15" t="n"/>
      <c r="E17" s="15" t="n"/>
      <c r="F17" s="15" t="n"/>
      <c r="G17" s="17" t="inlineStr">
        <is>
          <t>Wochenende</t>
        </is>
      </c>
    </row>
    <row r="18">
      <c r="A18" s="20" t="n"/>
      <c r="B18" s="20" t="n"/>
      <c r="C18" s="20" t="n"/>
      <c r="D18" s="20" t="n"/>
      <c r="E18" s="21" t="inlineStr">
        <is>
          <t>Summe KW 28</t>
        </is>
      </c>
      <c r="F18" s="22">
        <f>SUM(F11:F17)</f>
        <v/>
      </c>
      <c r="G18" s="20" t="n"/>
    </row>
    <row r="19">
      <c r="A19" s="5" t="inlineStr">
        <is>
          <t>Mo</t>
        </is>
      </c>
      <c r="B19" s="18" t="n">
        <v>46216</v>
      </c>
      <c r="C19" s="19" t="n">
        <v>0.3055555555555556</v>
      </c>
      <c r="D19" s="19" t="n">
        <v>0.6076388888888888</v>
      </c>
      <c r="E19" s="19" t="n">
        <v>0.02083333333333333</v>
      </c>
      <c r="F19" s="7">
        <f>(D19-C19-E19)*24</f>
        <v/>
      </c>
      <c r="G19" s="6" t="inlineStr"/>
    </row>
    <row r="20">
      <c r="A20" s="5" t="inlineStr">
        <is>
          <t>Di</t>
        </is>
      </c>
      <c r="B20" s="18" t="n">
        <v>46217</v>
      </c>
      <c r="C20" s="19" t="n">
        <v>0.2951388888888889</v>
      </c>
      <c r="D20" s="19" t="n">
        <v>0.5972222222222222</v>
      </c>
      <c r="E20" s="19" t="n">
        <v>0.02083333333333333</v>
      </c>
      <c r="F20" s="7">
        <f>(D20-C20-E20)*24</f>
        <v/>
      </c>
      <c r="G20" s="6" t="inlineStr"/>
    </row>
    <row r="21">
      <c r="A21" s="5" t="inlineStr">
        <is>
          <t>Mi</t>
        </is>
      </c>
      <c r="B21" s="18" t="n">
        <v>46218</v>
      </c>
      <c r="C21" s="19" t="n">
        <v>0.3125</v>
      </c>
      <c r="D21" s="19" t="n">
        <v>0.6145833333333334</v>
      </c>
      <c r="E21" s="19" t="n">
        <v>0.02083333333333333</v>
      </c>
      <c r="F21" s="7">
        <f>(D21-C21-E21)*24</f>
        <v/>
      </c>
      <c r="G21" s="6" t="inlineStr"/>
    </row>
    <row r="22">
      <c r="A22" s="5" t="inlineStr">
        <is>
          <t>Do</t>
        </is>
      </c>
      <c r="B22" s="18" t="n">
        <v>46219</v>
      </c>
      <c r="C22" s="19" t="n">
        <v>0.3020833333333333</v>
      </c>
      <c r="D22" s="19" t="n">
        <v>0.6041666666666666</v>
      </c>
      <c r="E22" s="19" t="n">
        <v>0.02083333333333333</v>
      </c>
      <c r="F22" s="7">
        <f>(D22-C22-E22)*24</f>
        <v/>
      </c>
      <c r="G22" s="6" t="inlineStr"/>
    </row>
    <row r="23">
      <c r="A23" s="5" t="inlineStr">
        <is>
          <t>Fr</t>
        </is>
      </c>
      <c r="B23" s="18" t="n">
        <v>46220</v>
      </c>
      <c r="C23" s="19" t="n">
        <v>0.2916666666666667</v>
      </c>
      <c r="D23" s="19" t="n">
        <v>0.6041666666666666</v>
      </c>
      <c r="E23" s="19" t="n">
        <v>0.02083333333333333</v>
      </c>
      <c r="F23" s="7">
        <f>(D23-C23-E23)*24</f>
        <v/>
      </c>
      <c r="G23" s="6" t="inlineStr"/>
    </row>
    <row r="24">
      <c r="A24" s="15" t="inlineStr">
        <is>
          <t>Sa</t>
        </is>
      </c>
      <c r="B24" s="16" t="n">
        <v>46221</v>
      </c>
      <c r="C24" s="15" t="n"/>
      <c r="D24" s="15" t="n"/>
      <c r="E24" s="15" t="n"/>
      <c r="F24" s="15" t="n"/>
      <c r="G24" s="17" t="inlineStr">
        <is>
          <t>Wochenende</t>
        </is>
      </c>
    </row>
    <row r="25">
      <c r="A25" s="15" t="inlineStr">
        <is>
          <t>So</t>
        </is>
      </c>
      <c r="B25" s="16" t="n">
        <v>46222</v>
      </c>
      <c r="C25" s="15" t="n"/>
      <c r="D25" s="15" t="n"/>
      <c r="E25" s="15" t="n"/>
      <c r="F25" s="15" t="n"/>
      <c r="G25" s="17" t="inlineStr">
        <is>
          <t>Wochenende</t>
        </is>
      </c>
    </row>
    <row r="26">
      <c r="A26" s="20" t="n"/>
      <c r="B26" s="20" t="n"/>
      <c r="C26" s="20" t="n"/>
      <c r="D26" s="20" t="n"/>
      <c r="E26" s="21" t="inlineStr">
        <is>
          <t>Summe KW 29</t>
        </is>
      </c>
      <c r="F26" s="22">
        <f>SUM(F19:F25)</f>
        <v/>
      </c>
      <c r="G26" s="20" t="n"/>
    </row>
    <row r="27">
      <c r="A27" s="5" t="inlineStr">
        <is>
          <t>Mo</t>
        </is>
      </c>
      <c r="B27" s="18" t="n">
        <v>46223</v>
      </c>
      <c r="C27" s="19" t="n">
        <v>0.3020833333333333</v>
      </c>
      <c r="D27" s="19" t="n">
        <v>0.59375</v>
      </c>
      <c r="E27" s="19" t="n">
        <v>0.02083333333333333</v>
      </c>
      <c r="F27" s="7">
        <f>(D27-C27-E27)*24</f>
        <v/>
      </c>
      <c r="G27" s="6" t="inlineStr"/>
    </row>
    <row r="28">
      <c r="A28" s="5" t="inlineStr">
        <is>
          <t>Di</t>
        </is>
      </c>
      <c r="B28" s="18" t="n">
        <v>46224</v>
      </c>
      <c r="C28" s="19" t="n">
        <v>0.2951388888888889</v>
      </c>
      <c r="D28" s="19" t="n">
        <v>0.5868055555555556</v>
      </c>
      <c r="E28" s="19" t="n">
        <v>0.02083333333333333</v>
      </c>
      <c r="F28" s="7">
        <f>(D28-C28-E28)*24</f>
        <v/>
      </c>
      <c r="G28" s="6" t="inlineStr"/>
    </row>
    <row r="29">
      <c r="A29" s="5" t="inlineStr">
        <is>
          <t>Mi</t>
        </is>
      </c>
      <c r="B29" s="18" t="n">
        <v>46225</v>
      </c>
      <c r="C29" s="19" t="n">
        <v>0.3055555555555556</v>
      </c>
      <c r="D29" s="19" t="n">
        <v>0.6180555555555556</v>
      </c>
      <c r="E29" s="19" t="n">
        <v>0.02083333333333333</v>
      </c>
      <c r="F29" s="7">
        <f>(D29-C29-E29)*24</f>
        <v/>
      </c>
      <c r="G29" s="6" t="inlineStr"/>
    </row>
    <row r="30">
      <c r="A30" s="5" t="inlineStr">
        <is>
          <t>Do</t>
        </is>
      </c>
      <c r="B30" s="18" t="n">
        <v>46226</v>
      </c>
      <c r="C30" s="19" t="n">
        <v>0.2986111111111111</v>
      </c>
      <c r="D30" s="19" t="n">
        <v>0.6006944444444444</v>
      </c>
      <c r="E30" s="19" t="n">
        <v>0.02083333333333333</v>
      </c>
      <c r="F30" s="7">
        <f>(D30-C30-E30)*24</f>
        <v/>
      </c>
      <c r="G30" s="6" t="inlineStr"/>
    </row>
    <row r="31">
      <c r="A31" s="5" t="inlineStr">
        <is>
          <t>Fr</t>
        </is>
      </c>
      <c r="B31" s="18" t="n">
        <v>46227</v>
      </c>
      <c r="C31" s="19" t="n">
        <v>0.3125</v>
      </c>
      <c r="D31" s="19" t="n">
        <v>0.6145833333333334</v>
      </c>
      <c r="E31" s="19" t="n">
        <v>0.02083333333333333</v>
      </c>
      <c r="F31" s="7">
        <f>(D31-C31-E31)*24</f>
        <v/>
      </c>
      <c r="G31" s="6" t="inlineStr"/>
    </row>
    <row r="32">
      <c r="A32" s="15" t="inlineStr">
        <is>
          <t>Sa</t>
        </is>
      </c>
      <c r="B32" s="16" t="n">
        <v>46228</v>
      </c>
      <c r="C32" s="15" t="n"/>
      <c r="D32" s="15" t="n"/>
      <c r="E32" s="15" t="n"/>
      <c r="F32" s="15" t="n"/>
      <c r="G32" s="17" t="inlineStr">
        <is>
          <t>Wochenende</t>
        </is>
      </c>
    </row>
    <row r="33">
      <c r="A33" s="15" t="inlineStr">
        <is>
          <t>So</t>
        </is>
      </c>
      <c r="B33" s="16" t="n">
        <v>46229</v>
      </c>
      <c r="C33" s="15" t="n"/>
      <c r="D33" s="15" t="n"/>
      <c r="E33" s="15" t="n"/>
      <c r="F33" s="15" t="n"/>
      <c r="G33" s="17" t="inlineStr">
        <is>
          <t>Wochenende</t>
        </is>
      </c>
    </row>
    <row r="34">
      <c r="A34" s="20" t="n"/>
      <c r="B34" s="20" t="n"/>
      <c r="C34" s="20" t="n"/>
      <c r="D34" s="20" t="n"/>
      <c r="E34" s="21" t="inlineStr">
        <is>
          <t>Summe KW 30</t>
        </is>
      </c>
      <c r="F34" s="22">
        <f>SUM(F27:F33)</f>
        <v/>
      </c>
      <c r="G34" s="20" t="n"/>
    </row>
    <row r="35">
      <c r="A35" s="5" t="inlineStr">
        <is>
          <t>Mo</t>
        </is>
      </c>
      <c r="B35" s="18" t="n">
        <v>46230</v>
      </c>
      <c r="C35" s="19" t="n">
        <v>0.2951388888888889</v>
      </c>
      <c r="D35" s="19" t="n">
        <v>0.5972222222222222</v>
      </c>
      <c r="E35" s="19" t="n">
        <v>0.02083333333333333</v>
      </c>
      <c r="F35" s="7">
        <f>(D35-C35-E35)*24</f>
        <v/>
      </c>
      <c r="G35" s="6" t="inlineStr"/>
    </row>
    <row r="36">
      <c r="A36" s="5" t="inlineStr">
        <is>
          <t>Di</t>
        </is>
      </c>
      <c r="B36" s="18" t="n">
        <v>46231</v>
      </c>
      <c r="C36" s="19" t="n">
        <v>0.3090277777777778</v>
      </c>
      <c r="D36" s="19" t="n">
        <v>0.6111111111111112</v>
      </c>
      <c r="E36" s="19" t="n">
        <v>0.02083333333333333</v>
      </c>
      <c r="F36" s="7">
        <f>(D36-C36-E36)*24</f>
        <v/>
      </c>
      <c r="G36" s="6" t="inlineStr"/>
    </row>
    <row r="37">
      <c r="A37" s="5" t="inlineStr">
        <is>
          <t>Mi</t>
        </is>
      </c>
      <c r="B37" s="18" t="n">
        <v>46232</v>
      </c>
      <c r="C37" s="19" t="n">
        <v>0.2916666666666667</v>
      </c>
      <c r="D37" s="19" t="n">
        <v>0.6041666666666666</v>
      </c>
      <c r="E37" s="19" t="n">
        <v>0.02083333333333333</v>
      </c>
      <c r="F37" s="7">
        <f>(D37-C37-E37)*24</f>
        <v/>
      </c>
      <c r="G37" s="6" t="inlineStr"/>
    </row>
    <row r="38">
      <c r="A38" s="5" t="inlineStr">
        <is>
          <t>Do</t>
        </is>
      </c>
      <c r="B38" s="18" t="n">
        <v>46233</v>
      </c>
      <c r="C38" s="19" t="n">
        <v>0.3020833333333333</v>
      </c>
      <c r="D38" s="19" t="n">
        <v>0.59375</v>
      </c>
      <c r="E38" s="19" t="n">
        <v>0.02083333333333333</v>
      </c>
      <c r="F38" s="7">
        <f>(D38-C38-E38)*24</f>
        <v/>
      </c>
      <c r="G38" s="6" t="inlineStr"/>
    </row>
    <row r="39">
      <c r="A39" s="5" t="inlineStr">
        <is>
          <t>Fr</t>
        </is>
      </c>
      <c r="B39" s="18" t="n">
        <v>46234</v>
      </c>
      <c r="C39" s="19" t="n">
        <v>0.2986111111111111</v>
      </c>
      <c r="D39" s="19" t="n">
        <v>0.6006944444444444</v>
      </c>
      <c r="E39" s="19" t="n">
        <v>0.02083333333333333</v>
      </c>
      <c r="F39" s="7">
        <f>(D39-C39-E39)*24</f>
        <v/>
      </c>
      <c r="G39" s="6" t="inlineStr"/>
    </row>
    <row r="40">
      <c r="A40" s="20" t="n"/>
      <c r="B40" s="20" t="n"/>
      <c r="C40" s="20" t="n"/>
      <c r="D40" s="20" t="n"/>
      <c r="E40" s="21" t="inlineStr">
        <is>
          <t>Summe KW 31</t>
        </is>
      </c>
      <c r="F40" s="22">
        <f>SUM(F35:F39)</f>
        <v/>
      </c>
      <c r="G40" s="20" t="n"/>
    </row>
    <row r="41">
      <c r="E41" s="9" t="inlineStr">
        <is>
          <t>Summe</t>
        </is>
      </c>
      <c r="F41" s="11">
        <f>F10+F18+F26+F34+F40</f>
        <v/>
      </c>
      <c r="G41" s="27" t="inlineStr">
        <is>
          <t>Stunden netto im Monat</t>
        </is>
      </c>
    </row>
    <row r="43">
      <c r="A43" s="28" t="n"/>
      <c r="B43" s="28" t="n"/>
      <c r="C43" s="28" t="n"/>
      <c r="E43" s="28" t="n"/>
      <c r="F43" s="28" t="n"/>
      <c r="G43" s="28" t="n"/>
      <c r="H43" s="28" t="n"/>
    </row>
    <row r="44">
      <c r="A44" s="29" t="inlineStr">
        <is>
          <t>Datum, Unterschrift Praktikant</t>
        </is>
      </c>
      <c r="E44" s="29" t="inlineStr">
        <is>
          <t>Datum, Unterschrift und Stempel des Betriebes</t>
        </is>
      </c>
    </row>
  </sheetData>
  <mergeCells count="4">
    <mergeCell ref="A1:C1"/>
    <mergeCell ref="D2:G2"/>
    <mergeCell ref="D1:G1"/>
    <mergeCell ref="A2:C2"/>
  </mergeCells>
  <pageMargins left="0.5" right="0.5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Houcine Hassine</dc:creator>
  <dc:title xmlns:dc="http://purl.org/dc/elements/1.1/">Zeiterfassung Praxissemester</dc:title>
  <dcterms:created xmlns:dcterms="http://purl.org/dc/terms/" xmlns:xsi="http://www.w3.org/2001/XMLSchema-instance" xsi:type="dcterms:W3CDTF">2026-08-28T19:25:57Z</dcterms:created>
  <dcterms:modified xmlns:dcterms="http://purl.org/dc/terms/" xmlns:xsi="http://www.w3.org/2001/XMLSchema-instance" xsi:type="dcterms:W3CDTF">2026-08-28T19:25:57Z</dcterms:modified>
  <cp:lastModifiedBy>Houcine Hassine</cp:lastModifiedBy>
</cp:coreProperties>
</file>