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'Wochenübersicht'!$A$1:$G$36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4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  <font>
      <name val="Arial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2" fontId="13" fillId="4" borderId="2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right"/>
    </xf>
    <xf numFmtId="167" fontId="5" fillId="4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42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42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29</v>
      </c>
      <c r="E7" s="7" t="n">
        <v>26.5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37.75</v>
      </c>
      <c r="E8" s="7" t="n">
        <v>34.25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29</v>
      </c>
      <c r="E9" s="7" t="n">
        <v>26.5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28</v>
      </c>
      <c r="E10" s="7" t="n">
        <v>26.5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37</v>
      </c>
      <c r="E11" s="7" t="n">
        <v>34.25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36.25</v>
      </c>
      <c r="E12" s="7" t="n">
        <v>34.25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36.5</v>
      </c>
      <c r="E14" s="7" t="n">
        <v>34.25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27.75</v>
      </c>
      <c r="E15" s="7" t="n">
        <v>26.5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32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26.25</v>
      </c>
      <c r="E18" s="7" t="n">
        <v>26.5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33.75</v>
      </c>
      <c r="E19" s="7" t="n">
        <v>34.25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34.75</v>
      </c>
      <c r="E20" s="7" t="n">
        <v>34.25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34.25</v>
      </c>
      <c r="E21" s="7" t="n">
        <v>34.25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28</v>
      </c>
      <c r="E22" s="7" t="n">
        <v>26.5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31.75</v>
      </c>
      <c r="E23" s="7" t="n">
        <v>34.25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34.25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31.75</v>
      </c>
      <c r="E25" s="7" t="n">
        <v>34.25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34.25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Kalenderwoche</t>
        </is>
      </c>
    </row>
    <row r="30">
      <c r="B30" s="14" t="inlineStr">
        <is>
          <t>Soll laut Vertrag</t>
        </is>
      </c>
      <c r="D30" s="15" t="n">
        <v>684</v>
      </c>
      <c r="E30" s="16" t="inlineStr">
        <is>
          <t>38,0 h/Woche × 18 Wochen</t>
        </is>
      </c>
    </row>
    <row r="31">
      <c r="B31" s="14" t="inlineStr">
        <is>
          <t>Ist laut Tätigkeitsnachweis</t>
        </is>
      </c>
      <c r="D31" s="15">
        <f>D27</f>
        <v/>
      </c>
    </row>
    <row r="32">
      <c r="B32" s="17" t="inlineStr">
        <is>
          <t>Differenz</t>
        </is>
      </c>
      <c r="D32" s="18">
        <f>D27-684.0</f>
        <v/>
      </c>
    </row>
    <row r="34">
      <c r="B34" s="16" t="inlineStr">
        <is>
          <t>Wochen über einen Monatswechsel sind hier vollständig zusammengefasst; in den Monatsblättern erscheinen sie anteilig.</t>
        </is>
      </c>
    </row>
    <row r="35">
      <c r="B35" s="16" t="inlineStr">
        <is>
          <t>Spalte Soll = 38,0 h/Woche, anteilig je Anwesenheitstag. Vorlesungs-, Praktikums- und Prüfungstage zählen als halber Tag, weil der Vormittag an der OTH war.</t>
        </is>
      </c>
    </row>
    <row r="36">
      <c r="B36" s="16" t="inlineStr">
        <is>
          <t>Ø je Kalenderwoche rechnet über alle 22 Wochen des Zeitraums, also einschließlich der Wochen mit Feiertag, Krankheit oder Hochschultag.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9" t="inlineStr">
        <is>
          <t>So</t>
        </is>
      </c>
      <c r="B5" s="20" t="n">
        <v>46082</v>
      </c>
      <c r="C5" s="19" t="n"/>
      <c r="D5" s="19" t="n"/>
      <c r="E5" s="19" t="n"/>
      <c r="F5" s="19" t="n"/>
      <c r="G5" s="21" t="inlineStr">
        <is>
          <t>Wochenende</t>
        </is>
      </c>
    </row>
    <row r="6">
      <c r="A6" s="5" t="inlineStr">
        <is>
          <t>Mo</t>
        </is>
      </c>
      <c r="B6" s="22" t="n">
        <v>46083</v>
      </c>
      <c r="C6" s="23" t="n">
        <v>0.2916666666666667</v>
      </c>
      <c r="D6" s="23" t="n">
        <v>0.6666666666666666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Di</t>
        </is>
      </c>
      <c r="B7" s="22" t="n">
        <v>46084</v>
      </c>
      <c r="C7" s="23" t="n">
        <v>0.3020833333333333</v>
      </c>
      <c r="D7" s="23" t="n">
        <v>0.6666666666666666</v>
      </c>
      <c r="E7" s="23" t="n">
        <v>0.02083333333333333</v>
      </c>
      <c r="F7" s="7">
        <f>(D7-C7-N(E7))*24</f>
        <v/>
      </c>
      <c r="G7" s="6" t="inlineStr"/>
    </row>
    <row r="8">
      <c r="A8" s="5" t="inlineStr">
        <is>
          <t>Mi</t>
        </is>
      </c>
      <c r="B8" s="22" t="n">
        <v>46085</v>
      </c>
      <c r="C8" s="23" t="n">
        <v>0.3333333333333333</v>
      </c>
      <c r="D8" s="23" t="n">
        <v>0.6979166666666666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Do</t>
        </is>
      </c>
      <c r="B9" s="22" t="n">
        <v>46086</v>
      </c>
      <c r="C9" s="23" t="n">
        <v>0.3055555555555556</v>
      </c>
      <c r="D9" s="23" t="n">
        <v>0.6805555555555556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Fr</t>
        </is>
      </c>
      <c r="B10" s="22" t="n">
        <v>46087</v>
      </c>
      <c r="C10" s="23" t="n">
        <v>0.2986111111111111</v>
      </c>
      <c r="D10" s="23" t="n">
        <v>0.6736111111111112</v>
      </c>
      <c r="E10" s="23" t="n">
        <v>0.02083333333333333</v>
      </c>
      <c r="F10" s="7">
        <f>(D10-C10-N(E10))*24</f>
        <v/>
      </c>
      <c r="G10" s="6" t="inlineStr"/>
    </row>
    <row r="11">
      <c r="A11" s="19" t="inlineStr">
        <is>
          <t>Sa</t>
        </is>
      </c>
      <c r="B11" s="20" t="n">
        <v>46088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19" t="inlineStr">
        <is>
          <t>So</t>
        </is>
      </c>
      <c r="B12" s="20" t="n">
        <v>46089</v>
      </c>
      <c r="C12" s="19" t="n"/>
      <c r="D12" s="19" t="n"/>
      <c r="E12" s="19" t="n"/>
      <c r="F12" s="19" t="n"/>
      <c r="G12" s="21" t="inlineStr">
        <is>
          <t>Wochenende</t>
        </is>
      </c>
    </row>
    <row r="13">
      <c r="A13" s="24" t="n"/>
      <c r="B13" s="24" t="n"/>
      <c r="C13" s="24" t="n"/>
      <c r="D13" s="24" t="n"/>
      <c r="E13" s="25" t="inlineStr">
        <is>
          <t>Summe KW 10</t>
        </is>
      </c>
      <c r="F13" s="26">
        <f>SUM(F6:F12)</f>
        <v/>
      </c>
      <c r="G13" s="24" t="n"/>
    </row>
    <row r="14">
      <c r="A14" s="5" t="inlineStr">
        <is>
          <t>Mo</t>
        </is>
      </c>
      <c r="B14" s="22" t="n">
        <v>46090</v>
      </c>
      <c r="C14" s="23" t="n">
        <v>0.3125</v>
      </c>
      <c r="D14" s="23" t="n">
        <v>0.6770833333333334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22" t="n">
        <v>46091</v>
      </c>
      <c r="C15" s="23" t="n">
        <v>0.2951388888888889</v>
      </c>
      <c r="D15" s="23" t="n">
        <v>0.6701388888888888</v>
      </c>
      <c r="E15" s="23" t="n">
        <v>0.02083333333333333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22" t="n">
        <v>46092</v>
      </c>
      <c r="C16" s="23" t="n">
        <v>0.3090277777777778</v>
      </c>
      <c r="D16" s="23" t="n">
        <v>0.6840277777777778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22" t="n">
        <v>46093</v>
      </c>
      <c r="C17" s="23" t="n">
        <v>0.3333333333333333</v>
      </c>
      <c r="D17" s="23" t="n">
        <v>0.6979166666666666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22" t="n">
        <v>46094</v>
      </c>
      <c r="C18" s="23" t="n">
        <v>0.3020833333333333</v>
      </c>
      <c r="D18" s="23" t="n">
        <v>0.6770833333333334</v>
      </c>
      <c r="E18" s="23" t="n">
        <v>0.02083333333333333</v>
      </c>
      <c r="F18" s="7">
        <f>(D18-C18-N(E18))*24</f>
        <v/>
      </c>
      <c r="G18" s="6" t="inlineStr"/>
    </row>
    <row r="19">
      <c r="A19" s="19" t="inlineStr">
        <is>
          <t>Sa</t>
        </is>
      </c>
      <c r="B19" s="20" t="n">
        <v>46095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19" t="inlineStr">
        <is>
          <t>So</t>
        </is>
      </c>
      <c r="B20" s="20" t="n">
        <v>46096</v>
      </c>
      <c r="C20" s="19" t="n"/>
      <c r="D20" s="19" t="n"/>
      <c r="E20" s="19" t="n"/>
      <c r="F20" s="19" t="n"/>
      <c r="G20" s="21" t="inlineStr">
        <is>
          <t>Wochenende</t>
        </is>
      </c>
    </row>
    <row r="21">
      <c r="A21" s="24" t="n"/>
      <c r="B21" s="24" t="n"/>
      <c r="C21" s="24" t="n"/>
      <c r="D21" s="24" t="n"/>
      <c r="E21" s="25" t="inlineStr">
        <is>
          <t>Summe KW 11</t>
        </is>
      </c>
      <c r="F21" s="26">
        <f>SUM(F14:F20)</f>
        <v/>
      </c>
      <c r="G21" s="24" t="n"/>
    </row>
    <row r="22">
      <c r="A22" s="5" t="inlineStr">
        <is>
          <t>Mo</t>
        </is>
      </c>
      <c r="B22" s="22" t="n">
        <v>46097</v>
      </c>
      <c r="C22" s="23" t="n">
        <v>0.2986111111111111</v>
      </c>
      <c r="D22" s="23" t="n">
        <v>0.6736111111111112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22" t="n">
        <v>46098</v>
      </c>
      <c r="C23" s="23" t="n">
        <v>0.3055555555555556</v>
      </c>
      <c r="D23" s="23" t="n">
        <v>0.6701388888888888</v>
      </c>
      <c r="E23" s="23" t="n">
        <v>0.02083333333333333</v>
      </c>
      <c r="F23" s="7">
        <f>(D23-C23-N(E23))*24</f>
        <v/>
      </c>
      <c r="G23" s="6" t="inlineStr"/>
    </row>
    <row r="24">
      <c r="A24" s="5" t="inlineStr">
        <is>
          <t>Mi</t>
        </is>
      </c>
      <c r="B24" s="22" t="n">
        <v>46099</v>
      </c>
      <c r="C24" s="23" t="n">
        <v>0.5104166666666666</v>
      </c>
      <c r="D24" s="23" t="n">
        <v>0.6770833333333334</v>
      </c>
      <c r="E24" s="5" t="n"/>
      <c r="F24" s="7">
        <f>(D24-C24-N(E24))*24</f>
        <v/>
      </c>
      <c r="G24" s="6" t="inlineStr">
        <is>
          <t>Vorlesung PP 10:00–11:30, danach im Betrieb</t>
        </is>
      </c>
    </row>
    <row r="25">
      <c r="A25" s="5" t="inlineStr">
        <is>
          <t>Do</t>
        </is>
      </c>
      <c r="B25" s="22" t="n">
        <v>46100</v>
      </c>
      <c r="C25" s="23" t="n">
        <v>0.2951388888888889</v>
      </c>
      <c r="D25" s="23" t="n">
        <v>0.6597222222222222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Fr</t>
        </is>
      </c>
      <c r="B26" s="28" t="n">
        <v>46101</v>
      </c>
      <c r="C26" s="27" t="n"/>
      <c r="D26" s="27" t="n"/>
      <c r="E26" s="27" t="n"/>
      <c r="F26" s="27" t="n"/>
      <c r="G26" s="29" t="inlineStr">
        <is>
          <t>Krank</t>
        </is>
      </c>
    </row>
    <row r="27">
      <c r="A27" s="19" t="inlineStr">
        <is>
          <t>Sa</t>
        </is>
      </c>
      <c r="B27" s="20" t="n">
        <v>46102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19" t="inlineStr">
        <is>
          <t>So</t>
        </is>
      </c>
      <c r="B28" s="20" t="n">
        <v>46103</v>
      </c>
      <c r="C28" s="19" t="n"/>
      <c r="D28" s="19" t="n"/>
      <c r="E28" s="19" t="n"/>
      <c r="F28" s="19" t="n"/>
      <c r="G28" s="21" t="inlineStr">
        <is>
          <t>Wochenende</t>
        </is>
      </c>
    </row>
    <row r="29">
      <c r="A29" s="24" t="n"/>
      <c r="B29" s="24" t="n"/>
      <c r="C29" s="24" t="n"/>
      <c r="D29" s="24" t="n"/>
      <c r="E29" s="25" t="inlineStr">
        <is>
          <t>Summe KW 12</t>
        </is>
      </c>
      <c r="F29" s="26">
        <f>SUM(F22:F28)</f>
        <v/>
      </c>
      <c r="G29" s="24" t="n"/>
    </row>
    <row r="30">
      <c r="A30" s="5" t="inlineStr">
        <is>
          <t>Mo</t>
        </is>
      </c>
      <c r="B30" s="22" t="n">
        <v>46104</v>
      </c>
      <c r="C30" s="23" t="n">
        <v>0.3125</v>
      </c>
      <c r="D30" s="23" t="n">
        <v>0.6875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22" t="n">
        <v>46105</v>
      </c>
      <c r="C31" s="23" t="n">
        <v>0.3020833333333333</v>
      </c>
      <c r="D31" s="23" t="n">
        <v>0.6770833333333334</v>
      </c>
      <c r="E31" s="23" t="n">
        <v>0.02083333333333333</v>
      </c>
      <c r="F31" s="7">
        <f>(D31-C31-N(E31))*24</f>
        <v/>
      </c>
      <c r="G31" s="6" t="inlineStr"/>
    </row>
    <row r="32">
      <c r="A32" s="5" t="inlineStr">
        <is>
          <t>Mi</t>
        </is>
      </c>
      <c r="B32" s="22" t="n">
        <v>46106</v>
      </c>
      <c r="C32" s="23" t="n">
        <v>0.5069444444444444</v>
      </c>
      <c r="D32" s="23" t="n">
        <v>0.6736111111111112</v>
      </c>
      <c r="E32" s="5" t="n"/>
      <c r="F32" s="7">
        <f>(D32-C32-N(E32))*24</f>
        <v/>
      </c>
      <c r="G32" s="6" t="inlineStr">
        <is>
          <t>Vorlesung PP 10:00–11:30, danach im Betrieb</t>
        </is>
      </c>
    </row>
    <row r="33">
      <c r="A33" s="5" t="inlineStr">
        <is>
          <t>Do</t>
        </is>
      </c>
      <c r="B33" s="22" t="n">
        <v>46107</v>
      </c>
      <c r="C33" s="23" t="n">
        <v>0.3333333333333333</v>
      </c>
      <c r="D33" s="23" t="n">
        <v>0.6979166666666666</v>
      </c>
      <c r="E33" s="23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22" t="n">
        <v>46108</v>
      </c>
      <c r="C34" s="23" t="n">
        <v>0.2951388888888889</v>
      </c>
      <c r="D34" s="23" t="n">
        <v>0.6701388888888888</v>
      </c>
      <c r="E34" s="23" t="n">
        <v>0.02083333333333333</v>
      </c>
      <c r="F34" s="7">
        <f>(D34-C34-N(E34))*24</f>
        <v/>
      </c>
      <c r="G34" s="6" t="inlineStr"/>
    </row>
    <row r="35">
      <c r="A35" s="19" t="inlineStr">
        <is>
          <t>Sa</t>
        </is>
      </c>
      <c r="B35" s="20" t="n">
        <v>46109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19" t="inlineStr">
        <is>
          <t>So</t>
        </is>
      </c>
      <c r="B36" s="20" t="n">
        <v>46110</v>
      </c>
      <c r="C36" s="19" t="n"/>
      <c r="D36" s="19" t="n"/>
      <c r="E36" s="19" t="n"/>
      <c r="F36" s="19" t="n"/>
      <c r="G36" s="21" t="inlineStr">
        <is>
          <t>Wochenende</t>
        </is>
      </c>
    </row>
    <row r="37">
      <c r="A37" s="24" t="n"/>
      <c r="B37" s="24" t="n"/>
      <c r="C37" s="24" t="n"/>
      <c r="D37" s="24" t="n"/>
      <c r="E37" s="25" t="inlineStr">
        <is>
          <t>Summe KW 13</t>
        </is>
      </c>
      <c r="F37" s="26">
        <f>SUM(F30:F36)</f>
        <v/>
      </c>
      <c r="G37" s="24" t="n"/>
    </row>
    <row r="38">
      <c r="A38" s="5" t="inlineStr">
        <is>
          <t>Mo</t>
        </is>
      </c>
      <c r="B38" s="22" t="n">
        <v>46111</v>
      </c>
      <c r="C38" s="23" t="n">
        <v>0.3090277777777778</v>
      </c>
      <c r="D38" s="23" t="n">
        <v>0.6736111111111112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22" t="n">
        <v>46112</v>
      </c>
      <c r="C39" s="23" t="n">
        <v>0.2916666666666667</v>
      </c>
      <c r="D39" s="23" t="n">
        <v>0.6666666666666666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14</t>
        </is>
      </c>
      <c r="F40" s="26">
        <f>SUM(F38:F39)</f>
        <v/>
      </c>
      <c r="G40" s="30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46113</v>
      </c>
      <c r="C5" s="23" t="n">
        <v>0.5138888888888888</v>
      </c>
      <c r="D5" s="23" t="n">
        <v>0.6805555555555556</v>
      </c>
      <c r="E5" s="5" t="n"/>
      <c r="F5" s="7">
        <f>(D5-C5-N(E5))*24</f>
        <v/>
      </c>
      <c r="G5" s="6" t="inlineStr">
        <is>
          <t>Vorlesung PP 10:00–11:30, danach im Betrieb</t>
        </is>
      </c>
    </row>
    <row r="6">
      <c r="A6" s="5" t="inlineStr">
        <is>
          <t>Do</t>
        </is>
      </c>
      <c r="B6" s="22" t="n">
        <v>46114</v>
      </c>
      <c r="C6" s="23" t="n">
        <v>0.3229166666666667</v>
      </c>
      <c r="D6" s="23" t="n">
        <v>0.6875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46115</v>
      </c>
      <c r="C7" s="27" t="n"/>
      <c r="D7" s="27" t="n"/>
      <c r="E7" s="27" t="n"/>
      <c r="F7" s="27" t="n"/>
      <c r="G7" s="29" t="inlineStr">
        <is>
          <t>Karfreitag</t>
        </is>
      </c>
    </row>
    <row r="8">
      <c r="A8" s="19" t="inlineStr">
        <is>
          <t>Sa</t>
        </is>
      </c>
      <c r="B8" s="20" t="n">
        <v>46116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46117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14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27" t="inlineStr">
        <is>
          <t>Mo</t>
        </is>
      </c>
      <c r="B11" s="28" t="n">
        <v>46118</v>
      </c>
      <c r="C11" s="27" t="n"/>
      <c r="D11" s="27" t="n"/>
      <c r="E11" s="27" t="n"/>
      <c r="F11" s="27" t="n"/>
      <c r="G11" s="29" t="inlineStr">
        <is>
          <t>Ostermontag</t>
        </is>
      </c>
    </row>
    <row r="12">
      <c r="A12" s="5" t="inlineStr">
        <is>
          <t>Di</t>
        </is>
      </c>
      <c r="B12" s="22" t="n">
        <v>46119</v>
      </c>
      <c r="C12" s="23" t="n">
        <v>0.2986111111111111</v>
      </c>
      <c r="D12" s="23" t="n">
        <v>0.6527777777777778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46120</v>
      </c>
      <c r="C13" s="23" t="n">
        <v>0.5104166666666666</v>
      </c>
      <c r="D13" s="23" t="n">
        <v>0.6770833333333334</v>
      </c>
      <c r="E13" s="5" t="n"/>
      <c r="F13" s="7">
        <f>(D13-C13-N(E13))*24</f>
        <v/>
      </c>
      <c r="G13" s="6" t="inlineStr">
        <is>
          <t>Vorlesung PP 10:00–11:30, danach im Betrieb</t>
        </is>
      </c>
    </row>
    <row r="14">
      <c r="A14" s="5" t="inlineStr">
        <is>
          <t>Do</t>
        </is>
      </c>
      <c r="B14" s="22" t="n">
        <v>46121</v>
      </c>
      <c r="C14" s="23" t="n">
        <v>0.3333333333333333</v>
      </c>
      <c r="D14" s="23" t="n">
        <v>0.6770833333333334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22" t="n">
        <v>46122</v>
      </c>
      <c r="C15" s="23" t="n">
        <v>0.3055555555555556</v>
      </c>
      <c r="D15" s="23" t="n">
        <v>0.6701388888888888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46123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46124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15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46125</v>
      </c>
      <c r="C19" s="23" t="n">
        <v>0.2951388888888889</v>
      </c>
      <c r="D19" s="23" t="n">
        <v>0.6701388888888888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46126</v>
      </c>
      <c r="C20" s="23" t="n">
        <v>0.3159722222222222</v>
      </c>
      <c r="D20" s="23" t="n">
        <v>0.6701388888888888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46127</v>
      </c>
      <c r="C21" s="23" t="n">
        <v>0.5173611111111112</v>
      </c>
      <c r="D21" s="23" t="n">
        <v>0.6840277777777778</v>
      </c>
      <c r="E21" s="5" t="n"/>
      <c r="F21" s="7">
        <f>(D21-C21-N(E21))*24</f>
        <v/>
      </c>
      <c r="G21" s="6" t="inlineStr">
        <is>
          <t>Vorlesung PP 10:00–11:30, danach im Betrieb</t>
        </is>
      </c>
    </row>
    <row r="22">
      <c r="A22" s="5" t="inlineStr">
        <is>
          <t>Do</t>
        </is>
      </c>
      <c r="B22" s="22" t="n">
        <v>46128</v>
      </c>
      <c r="C22" s="23" t="n">
        <v>0.3020833333333333</v>
      </c>
      <c r="D22" s="23" t="n">
        <v>0.6666666666666666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46129</v>
      </c>
      <c r="C23" s="23" t="n">
        <v>0.2916666666666667</v>
      </c>
      <c r="D23" s="23" t="n">
        <v>0.65625</v>
      </c>
      <c r="E23" s="23" t="n">
        <v>0.02083333333333333</v>
      </c>
      <c r="F23" s="7">
        <f>(D23-C23-N(E23))*24</f>
        <v/>
      </c>
      <c r="G23" s="6" t="inlineStr"/>
    </row>
    <row r="24">
      <c r="A24" s="19" t="inlineStr">
        <is>
          <t>Sa</t>
        </is>
      </c>
      <c r="B24" s="20" t="n">
        <v>46130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46131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16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46132</v>
      </c>
      <c r="C27" s="23" t="n">
        <v>0.3125</v>
      </c>
      <c r="D27" s="23" t="n">
        <v>0.6666666666666666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22" t="n">
        <v>46133</v>
      </c>
      <c r="C28" s="23" t="n">
        <v>0.3333333333333333</v>
      </c>
      <c r="D28" s="23" t="n">
        <v>0.6875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46134</v>
      </c>
      <c r="C29" s="23" t="n">
        <v>0.5069444444444444</v>
      </c>
      <c r="D29" s="23" t="n">
        <v>0.6736111111111112</v>
      </c>
      <c r="E29" s="5" t="n"/>
      <c r="F29" s="7">
        <f>(D29-C29-N(E29))*24</f>
        <v/>
      </c>
      <c r="G29" s="6" t="inlineStr">
        <is>
          <t>Vorlesung PP 10:00–11:30, danach im Betrieb</t>
        </is>
      </c>
    </row>
    <row r="30">
      <c r="A30" s="5" t="inlineStr">
        <is>
          <t>Do</t>
        </is>
      </c>
      <c r="B30" s="22" t="n">
        <v>46135</v>
      </c>
      <c r="C30" s="23" t="n">
        <v>0.2986111111111111</v>
      </c>
      <c r="D30" s="23" t="n">
        <v>0.6631944444444444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46136</v>
      </c>
      <c r="C31" s="23" t="n">
        <v>0.2916666666666667</v>
      </c>
      <c r="D31" s="23" t="n">
        <v>0.6458333333333334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46137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46138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17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46139</v>
      </c>
      <c r="C35" s="23" t="n">
        <v>0.3020833333333333</v>
      </c>
      <c r="D35" s="23" t="n">
        <v>0.65625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46140</v>
      </c>
      <c r="C36" s="23" t="n">
        <v>0.3333333333333333</v>
      </c>
      <c r="D36" s="23" t="n">
        <v>0.7083333333333334</v>
      </c>
      <c r="E36" s="23" t="n">
        <v>0.02083333333333333</v>
      </c>
      <c r="F36" s="7">
        <f>(D36-C36-N(E36))*24</f>
        <v/>
      </c>
      <c r="G36" s="6" t="inlineStr"/>
    </row>
    <row r="37">
      <c r="A37" s="27" t="inlineStr">
        <is>
          <t>Mi</t>
        </is>
      </c>
      <c r="B37" s="28" t="n">
        <v>46141</v>
      </c>
      <c r="C37" s="27" t="n"/>
      <c r="D37" s="27" t="n"/>
      <c r="E37" s="27" t="n"/>
      <c r="F37" s="27" t="n"/>
      <c r="G37" s="29" t="inlineStr">
        <is>
          <t>Vorlesung PP und Praktikum RT an der OTH</t>
        </is>
      </c>
    </row>
    <row r="38">
      <c r="A38" s="5" t="inlineStr">
        <is>
          <t>Do</t>
        </is>
      </c>
      <c r="B38" s="22" t="n">
        <v>46142</v>
      </c>
      <c r="C38" s="23" t="n">
        <v>0.3055555555555556</v>
      </c>
      <c r="D38" s="23" t="n">
        <v>0.6701388888888888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18</t>
        </is>
      </c>
      <c r="F39" s="26">
        <f>SUM(F35:F38)</f>
        <v/>
      </c>
      <c r="G39" s="24" t="n"/>
    </row>
    <row r="40">
      <c r="E40" s="9" t="inlineStr">
        <is>
          <t>Summe</t>
        </is>
      </c>
      <c r="F40" s="11">
        <f>F10+F18+F26+F34+F39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7" t="inlineStr">
        <is>
          <t>Fr</t>
        </is>
      </c>
      <c r="B5" s="28" t="n">
        <v>46143</v>
      </c>
      <c r="C5" s="27" t="n"/>
      <c r="D5" s="27" t="n"/>
      <c r="E5" s="27" t="n"/>
      <c r="F5" s="27" t="n"/>
      <c r="G5" s="29" t="inlineStr">
        <is>
          <t>Tag der Arbeit</t>
        </is>
      </c>
    </row>
    <row r="6">
      <c r="A6" s="19" t="inlineStr">
        <is>
          <t>Sa</t>
        </is>
      </c>
      <c r="B6" s="20" t="n">
        <v>46144</v>
      </c>
      <c r="C6" s="19" t="n"/>
      <c r="D6" s="19" t="n"/>
      <c r="E6" s="19" t="n"/>
      <c r="F6" s="19" t="n"/>
      <c r="G6" s="21" t="inlineStr">
        <is>
          <t>Wochenende</t>
        </is>
      </c>
    </row>
    <row r="7">
      <c r="A7" s="19" t="inlineStr">
        <is>
          <t>So</t>
        </is>
      </c>
      <c r="B7" s="20" t="n">
        <v>46145</v>
      </c>
      <c r="C7" s="19" t="n"/>
      <c r="D7" s="19" t="n"/>
      <c r="E7" s="19" t="n"/>
      <c r="F7" s="19" t="n"/>
      <c r="G7" s="21" t="inlineStr">
        <is>
          <t>Wochenende</t>
        </is>
      </c>
    </row>
    <row r="8">
      <c r="A8" s="5" t="inlineStr">
        <is>
          <t>Mo</t>
        </is>
      </c>
      <c r="B8" s="22" t="n">
        <v>46146</v>
      </c>
      <c r="C8" s="23" t="n">
        <v>0.2986111111111111</v>
      </c>
      <c r="D8" s="23" t="n">
        <v>0.6736111111111112</v>
      </c>
      <c r="E8" s="23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22" t="n">
        <v>46147</v>
      </c>
      <c r="C9" s="23" t="n">
        <v>0.3125</v>
      </c>
      <c r="D9" s="23" t="n">
        <v>0.6666666666666666</v>
      </c>
      <c r="E9" s="23" t="n">
        <v>0.02083333333333333</v>
      </c>
      <c r="F9" s="7">
        <f>(D9-C9-N(E9))*24</f>
        <v/>
      </c>
      <c r="G9" s="6" t="inlineStr"/>
    </row>
    <row r="10">
      <c r="A10" s="5" t="inlineStr">
        <is>
          <t>Mi</t>
        </is>
      </c>
      <c r="B10" s="22" t="n">
        <v>46148</v>
      </c>
      <c r="C10" s="23" t="n">
        <v>0.5104166666666666</v>
      </c>
      <c r="D10" s="23" t="n">
        <v>0.6770833333333334</v>
      </c>
      <c r="E10" s="5" t="n"/>
      <c r="F10" s="7">
        <f>(D10-C10-N(E10))*24</f>
        <v/>
      </c>
      <c r="G10" s="6" t="inlineStr">
        <is>
          <t>Vorlesung PP 10:00–11:30, danach im Betrieb</t>
        </is>
      </c>
    </row>
    <row r="11">
      <c r="A11" s="5" t="inlineStr">
        <is>
          <t>Do</t>
        </is>
      </c>
      <c r="B11" s="22" t="n">
        <v>46149</v>
      </c>
      <c r="C11" s="23" t="n">
        <v>0.2951388888888889</v>
      </c>
      <c r="D11" s="23" t="n">
        <v>0.6388888888888888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22" t="n">
        <v>46150</v>
      </c>
      <c r="C12" s="23" t="n">
        <v>0.3090277777777778</v>
      </c>
      <c r="D12" s="23" t="n">
        <v>0.6736111111111112</v>
      </c>
      <c r="E12" s="23" t="n">
        <v>0.02083333333333333</v>
      </c>
      <c r="F12" s="7">
        <f>(D12-C12-N(E12))*24</f>
        <v/>
      </c>
      <c r="G12" s="6" t="inlineStr"/>
    </row>
    <row r="13">
      <c r="A13" s="19" t="inlineStr">
        <is>
          <t>Sa</t>
        </is>
      </c>
      <c r="B13" s="20" t="n">
        <v>46151</v>
      </c>
      <c r="C13" s="19" t="n"/>
      <c r="D13" s="19" t="n"/>
      <c r="E13" s="19" t="n"/>
      <c r="F13" s="19" t="n"/>
      <c r="G13" s="21" t="inlineStr">
        <is>
          <t>Wochenende</t>
        </is>
      </c>
    </row>
    <row r="14">
      <c r="A14" s="19" t="inlineStr">
        <is>
          <t>So</t>
        </is>
      </c>
      <c r="B14" s="20" t="n">
        <v>46152</v>
      </c>
      <c r="C14" s="19" t="n"/>
      <c r="D14" s="19" t="n"/>
      <c r="E14" s="19" t="n"/>
      <c r="F14" s="19" t="n"/>
      <c r="G14" s="21" t="inlineStr">
        <is>
          <t>Wochenende</t>
        </is>
      </c>
    </row>
    <row r="15">
      <c r="A15" s="24" t="n"/>
      <c r="B15" s="24" t="n"/>
      <c r="C15" s="24" t="n"/>
      <c r="D15" s="24" t="n"/>
      <c r="E15" s="25" t="inlineStr">
        <is>
          <t>Summe KW 19</t>
        </is>
      </c>
      <c r="F15" s="26">
        <f>SUM(F8:F14)</f>
        <v/>
      </c>
      <c r="G15" s="24" t="n"/>
    </row>
    <row r="16">
      <c r="A16" s="5" t="inlineStr">
        <is>
          <t>Mo</t>
        </is>
      </c>
      <c r="B16" s="22" t="n">
        <v>46153</v>
      </c>
      <c r="C16" s="23" t="n">
        <v>0.3333333333333333</v>
      </c>
      <c r="D16" s="23" t="n">
        <v>0.6979166666666666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22" t="n">
        <v>46154</v>
      </c>
      <c r="C17" s="23" t="n">
        <v>0.3020833333333333</v>
      </c>
      <c r="D17" s="23" t="n">
        <v>0.6458333333333334</v>
      </c>
      <c r="E17" s="23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22" t="n">
        <v>46155</v>
      </c>
      <c r="C18" s="23" t="n">
        <v>0.5138888888888888</v>
      </c>
      <c r="D18" s="23" t="n">
        <v>0.6805555555555556</v>
      </c>
      <c r="E18" s="5" t="n"/>
      <c r="F18" s="7">
        <f>(D18-C18-N(E18))*24</f>
        <v/>
      </c>
      <c r="G18" s="6" t="inlineStr">
        <is>
          <t>Vorlesung PP 10:00–11:30, danach im Betrieb</t>
        </is>
      </c>
    </row>
    <row r="19">
      <c r="A19" s="27" t="inlineStr">
        <is>
          <t>Do</t>
        </is>
      </c>
      <c r="B19" s="28" t="n">
        <v>46156</v>
      </c>
      <c r="C19" s="27" t="n"/>
      <c r="D19" s="27" t="n"/>
      <c r="E19" s="27" t="n"/>
      <c r="F19" s="27" t="n"/>
      <c r="G19" s="29" t="inlineStr">
        <is>
          <t>Christi Himmelfahrt</t>
        </is>
      </c>
    </row>
    <row r="20">
      <c r="A20" s="5" t="inlineStr">
        <is>
          <t>Fr</t>
        </is>
      </c>
      <c r="B20" s="22" t="n">
        <v>46157</v>
      </c>
      <c r="C20" s="23" t="n">
        <v>0.2986111111111111</v>
      </c>
      <c r="D20" s="23" t="n">
        <v>0.6423611111111112</v>
      </c>
      <c r="E20" s="23" t="n">
        <v>0.02083333333333333</v>
      </c>
      <c r="F20" s="7">
        <f>(D20-C20-N(E20))*24</f>
        <v/>
      </c>
      <c r="G20" s="6" t="inlineStr"/>
    </row>
    <row r="21">
      <c r="A21" s="19" t="inlineStr">
        <is>
          <t>Sa</t>
        </is>
      </c>
      <c r="B21" s="20" t="n">
        <v>46158</v>
      </c>
      <c r="C21" s="19" t="n"/>
      <c r="D21" s="19" t="n"/>
      <c r="E21" s="19" t="n"/>
      <c r="F21" s="19" t="n"/>
      <c r="G21" s="21" t="inlineStr">
        <is>
          <t>Wochenende</t>
        </is>
      </c>
    </row>
    <row r="22">
      <c r="A22" s="19" t="inlineStr">
        <is>
          <t>So</t>
        </is>
      </c>
      <c r="B22" s="20" t="n">
        <v>46159</v>
      </c>
      <c r="C22" s="19" t="n"/>
      <c r="D22" s="19" t="n"/>
      <c r="E22" s="19" t="n"/>
      <c r="F22" s="19" t="n"/>
      <c r="G22" s="21" t="inlineStr">
        <is>
          <t>Wochenende</t>
        </is>
      </c>
    </row>
    <row r="23">
      <c r="A23" s="24" t="n"/>
      <c r="B23" s="24" t="n"/>
      <c r="C23" s="24" t="n"/>
      <c r="D23" s="24" t="n"/>
      <c r="E23" s="25" t="inlineStr">
        <is>
          <t>Summe KW 20</t>
        </is>
      </c>
      <c r="F23" s="26">
        <f>SUM(F16:F22)</f>
        <v/>
      </c>
      <c r="G23" s="24" t="n"/>
    </row>
    <row r="24">
      <c r="A24" s="5" t="inlineStr">
        <is>
          <t>Mo</t>
        </is>
      </c>
      <c r="B24" s="22" t="n">
        <v>46160</v>
      </c>
      <c r="C24" s="23" t="n">
        <v>0.3055555555555556</v>
      </c>
      <c r="D24" s="23" t="n">
        <v>0.6805555555555556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22" t="n">
        <v>46161</v>
      </c>
      <c r="C25" s="23" t="n">
        <v>0.2951388888888889</v>
      </c>
      <c r="D25" s="23" t="n">
        <v>0.6388888888888888</v>
      </c>
      <c r="E25" s="23" t="n">
        <v>0.02083333333333333</v>
      </c>
      <c r="F25" s="7">
        <f>(D25-C25-N(E25))*24</f>
        <v/>
      </c>
      <c r="G25" s="6" t="inlineStr"/>
    </row>
    <row r="26">
      <c r="A26" s="27" t="inlineStr">
        <is>
          <t>Mi</t>
        </is>
      </c>
      <c r="B26" s="28" t="n">
        <v>46162</v>
      </c>
      <c r="C26" s="27" t="n"/>
      <c r="D26" s="27" t="n"/>
      <c r="E26" s="27" t="n"/>
      <c r="F26" s="27" t="n"/>
      <c r="G26" s="29" t="inlineStr">
        <is>
          <t>Vorlesung PP und Praktikum RT an der OTH</t>
        </is>
      </c>
    </row>
    <row r="27">
      <c r="A27" s="5" t="inlineStr">
        <is>
          <t>Do</t>
        </is>
      </c>
      <c r="B27" s="22" t="n">
        <v>46163</v>
      </c>
      <c r="C27" s="23" t="n">
        <v>0.3125</v>
      </c>
      <c r="D27" s="23" t="n">
        <v>0.65625</v>
      </c>
      <c r="E27" s="23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22" t="n">
        <v>46164</v>
      </c>
      <c r="C28" s="23" t="n">
        <v>0.3020833333333333</v>
      </c>
      <c r="D28" s="23" t="n">
        <v>0.65625</v>
      </c>
      <c r="E28" s="23" t="n">
        <v>0.02083333333333333</v>
      </c>
      <c r="F28" s="7">
        <f>(D28-C28-N(E28))*24</f>
        <v/>
      </c>
      <c r="G28" s="6" t="inlineStr"/>
    </row>
    <row r="29">
      <c r="A29" s="19" t="inlineStr">
        <is>
          <t>Sa</t>
        </is>
      </c>
      <c r="B29" s="20" t="n">
        <v>46165</v>
      </c>
      <c r="C29" s="19" t="n"/>
      <c r="D29" s="19" t="n"/>
      <c r="E29" s="19" t="n"/>
      <c r="F29" s="19" t="n"/>
      <c r="G29" s="21" t="inlineStr">
        <is>
          <t>Wochenende</t>
        </is>
      </c>
    </row>
    <row r="30">
      <c r="A30" s="19" t="inlineStr">
        <is>
          <t>So</t>
        </is>
      </c>
      <c r="B30" s="20" t="n">
        <v>46166</v>
      </c>
      <c r="C30" s="19" t="n"/>
      <c r="D30" s="19" t="n"/>
      <c r="E30" s="19" t="n"/>
      <c r="F30" s="19" t="n"/>
      <c r="G30" s="21" t="inlineStr">
        <is>
          <t>Wochenende</t>
        </is>
      </c>
    </row>
    <row r="31">
      <c r="A31" s="24" t="n"/>
      <c r="B31" s="24" t="n"/>
      <c r="C31" s="24" t="n"/>
      <c r="D31" s="24" t="n"/>
      <c r="E31" s="25" t="inlineStr">
        <is>
          <t>Summe KW 21</t>
        </is>
      </c>
      <c r="F31" s="26">
        <f>SUM(F24:F30)</f>
        <v/>
      </c>
      <c r="G31" s="24" t="n"/>
    </row>
    <row r="32">
      <c r="A32" s="27" t="inlineStr">
        <is>
          <t>Mo</t>
        </is>
      </c>
      <c r="B32" s="28" t="n">
        <v>46167</v>
      </c>
      <c r="C32" s="27" t="n"/>
      <c r="D32" s="27" t="n"/>
      <c r="E32" s="27" t="n"/>
      <c r="F32" s="27" t="n"/>
      <c r="G32" s="29" t="inlineStr">
        <is>
          <t>Pfingstmontag</t>
        </is>
      </c>
    </row>
    <row r="33">
      <c r="A33" s="5" t="inlineStr">
        <is>
          <t>Di</t>
        </is>
      </c>
      <c r="B33" s="22" t="n">
        <v>46168</v>
      </c>
      <c r="C33" s="23" t="n">
        <v>0.3333333333333333</v>
      </c>
      <c r="D33" s="23" t="n">
        <v>0.6666666666666666</v>
      </c>
      <c r="E33" s="23" t="n">
        <v>0.02083333333333333</v>
      </c>
      <c r="F33" s="7">
        <f>(D33-C33-N(E33))*24</f>
        <v/>
      </c>
      <c r="G33" s="6" t="inlineStr"/>
    </row>
    <row r="34">
      <c r="A34" s="27" t="inlineStr">
        <is>
          <t>Mi</t>
        </is>
      </c>
      <c r="B34" s="28" t="n">
        <v>46169</v>
      </c>
      <c r="C34" s="27" t="n"/>
      <c r="D34" s="27" t="n"/>
      <c r="E34" s="27" t="n"/>
      <c r="F34" s="27" t="n"/>
      <c r="G34" s="29" t="inlineStr">
        <is>
          <t>Vorlesung PP und Praktikum RT an der OTH</t>
        </is>
      </c>
    </row>
    <row r="35">
      <c r="A35" s="5" t="inlineStr">
        <is>
          <t>Do</t>
        </is>
      </c>
      <c r="B35" s="22" t="n">
        <v>46170</v>
      </c>
      <c r="C35" s="23" t="n">
        <v>0.2951388888888889</v>
      </c>
      <c r="D35" s="23" t="n">
        <v>0.6284722222222222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22" t="n">
        <v>46171</v>
      </c>
      <c r="C36" s="23" t="n">
        <v>0.3090277777777778</v>
      </c>
      <c r="D36" s="23" t="n">
        <v>0.6631944444444444</v>
      </c>
      <c r="E36" s="23" t="n">
        <v>0.02083333333333333</v>
      </c>
      <c r="F36" s="7">
        <f>(D36-C36-N(E36))*24</f>
        <v/>
      </c>
      <c r="G36" s="6" t="inlineStr"/>
    </row>
    <row r="37">
      <c r="A37" s="19" t="inlineStr">
        <is>
          <t>Sa</t>
        </is>
      </c>
      <c r="B37" s="20" t="n">
        <v>46172</v>
      </c>
      <c r="C37" s="19" t="n"/>
      <c r="D37" s="19" t="n"/>
      <c r="E37" s="19" t="n"/>
      <c r="F37" s="19" t="n"/>
      <c r="G37" s="21" t="inlineStr">
        <is>
          <t>Wochenende</t>
        </is>
      </c>
    </row>
    <row r="38">
      <c r="A38" s="19" t="inlineStr">
        <is>
          <t>So</t>
        </is>
      </c>
      <c r="B38" s="20" t="n">
        <v>46173</v>
      </c>
      <c r="C38" s="19" t="n"/>
      <c r="D38" s="19" t="n"/>
      <c r="E38" s="19" t="n"/>
      <c r="F38" s="19" t="n"/>
      <c r="G38" s="21" t="inlineStr">
        <is>
          <t>Wochenende</t>
        </is>
      </c>
    </row>
    <row r="39">
      <c r="A39" s="24" t="n"/>
      <c r="B39" s="24" t="n"/>
      <c r="C39" s="24" t="n"/>
      <c r="D39" s="24" t="n"/>
      <c r="E39" s="25" t="inlineStr">
        <is>
          <t>Summe KW 22</t>
        </is>
      </c>
      <c r="F39" s="26">
        <f>SUM(F32:F38)</f>
        <v/>
      </c>
      <c r="G39" s="24" t="n"/>
    </row>
    <row r="40">
      <c r="E40" s="9" t="inlineStr">
        <is>
          <t>Summe</t>
        </is>
      </c>
      <c r="F40" s="11">
        <f>F15+F23+F31+F39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22" t="n">
        <v>46174</v>
      </c>
      <c r="C5" s="23" t="n">
        <v>0.2916666666666667</v>
      </c>
      <c r="D5" s="23" t="n">
        <v>0.6458333333333334</v>
      </c>
      <c r="E5" s="23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22" t="n">
        <v>46175</v>
      </c>
      <c r="C6" s="23" t="n">
        <v>0.3229166666666667</v>
      </c>
      <c r="D6" s="23" t="n">
        <v>0.6354166666666666</v>
      </c>
      <c r="E6" s="23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22" t="n">
        <v>46176</v>
      </c>
      <c r="C7" s="23" t="n">
        <v>0.5104166666666666</v>
      </c>
      <c r="D7" s="23" t="n">
        <v>0.6770833333333334</v>
      </c>
      <c r="E7" s="5" t="n"/>
      <c r="F7" s="7">
        <f>(D7-C7-N(E7))*24</f>
        <v/>
      </c>
      <c r="G7" s="6" t="inlineStr">
        <is>
          <t>Vorlesung PP 10:00–11:30, danach im Betrieb</t>
        </is>
      </c>
    </row>
    <row r="8">
      <c r="A8" s="27" t="inlineStr">
        <is>
          <t>Do</t>
        </is>
      </c>
      <c r="B8" s="28" t="n">
        <v>46177</v>
      </c>
      <c r="C8" s="27" t="n"/>
      <c r="D8" s="27" t="n"/>
      <c r="E8" s="27" t="n"/>
      <c r="F8" s="27" t="n"/>
      <c r="G8" s="29" t="inlineStr">
        <is>
          <t>Fronleichnam</t>
        </is>
      </c>
    </row>
    <row r="9">
      <c r="A9" s="5" t="inlineStr">
        <is>
          <t>Fr</t>
        </is>
      </c>
      <c r="B9" s="22" t="n">
        <v>46178</v>
      </c>
      <c r="C9" s="23" t="n">
        <v>0.2986111111111111</v>
      </c>
      <c r="D9" s="23" t="n">
        <v>0.6215277777777778</v>
      </c>
      <c r="E9" s="23" t="n">
        <v>0.02083333333333333</v>
      </c>
      <c r="F9" s="7">
        <f>(D9-C9-N(E9))*24</f>
        <v/>
      </c>
      <c r="G9" s="6" t="inlineStr"/>
    </row>
    <row r="10">
      <c r="A10" s="19" t="inlineStr">
        <is>
          <t>Sa</t>
        </is>
      </c>
      <c r="B10" s="20" t="n">
        <v>46179</v>
      </c>
      <c r="C10" s="19" t="n"/>
      <c r="D10" s="19" t="n"/>
      <c r="E10" s="19" t="n"/>
      <c r="F10" s="19" t="n"/>
      <c r="G10" s="21" t="inlineStr">
        <is>
          <t>Wochenende</t>
        </is>
      </c>
    </row>
    <row r="11">
      <c r="A11" s="19" t="inlineStr">
        <is>
          <t>So</t>
        </is>
      </c>
      <c r="B11" s="20" t="n">
        <v>46180</v>
      </c>
      <c r="C11" s="19" t="n"/>
      <c r="D11" s="19" t="n"/>
      <c r="E11" s="19" t="n"/>
      <c r="F11" s="19" t="n"/>
      <c r="G11" s="21" t="inlineStr">
        <is>
          <t>Wochenende</t>
        </is>
      </c>
    </row>
    <row r="12">
      <c r="A12" s="24" t="n"/>
      <c r="B12" s="24" t="n"/>
      <c r="C12" s="24" t="n"/>
      <c r="D12" s="24" t="n"/>
      <c r="E12" s="25" t="inlineStr">
        <is>
          <t>Summe KW 23</t>
        </is>
      </c>
      <c r="F12" s="26">
        <f>SUM(F5:F11)</f>
        <v/>
      </c>
      <c r="G12" s="24" t="n"/>
    </row>
    <row r="13">
      <c r="A13" s="5" t="inlineStr">
        <is>
          <t>Mo</t>
        </is>
      </c>
      <c r="B13" s="22" t="n">
        <v>46181</v>
      </c>
      <c r="C13" s="23" t="n">
        <v>0.3333333333333333</v>
      </c>
      <c r="D13" s="23" t="n">
        <v>0.6770833333333334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22" t="n">
        <v>46182</v>
      </c>
      <c r="C14" s="23" t="n">
        <v>0.3055555555555556</v>
      </c>
      <c r="D14" s="23" t="n">
        <v>0.6493055555555556</v>
      </c>
      <c r="E14" s="23" t="n">
        <v>0.02083333333333333</v>
      </c>
      <c r="F14" s="7">
        <f>(D14-C14-N(E14))*24</f>
        <v/>
      </c>
      <c r="G14" s="6" t="inlineStr"/>
    </row>
    <row r="15">
      <c r="A15" s="5" t="inlineStr">
        <is>
          <t>Mi</t>
        </is>
      </c>
      <c r="B15" s="22" t="n">
        <v>46183</v>
      </c>
      <c r="C15" s="23" t="n">
        <v>0.5069444444444444</v>
      </c>
      <c r="D15" s="23" t="n">
        <v>0.6736111111111112</v>
      </c>
      <c r="E15" s="5" t="n"/>
      <c r="F15" s="7">
        <f>(D15-C15-N(E15))*24</f>
        <v/>
      </c>
      <c r="G15" s="6" t="inlineStr">
        <is>
          <t>Vorlesung PP 10:00–11:30, danach im Betrieb</t>
        </is>
      </c>
    </row>
    <row r="16">
      <c r="A16" s="5" t="inlineStr">
        <is>
          <t>Do</t>
        </is>
      </c>
      <c r="B16" s="22" t="n">
        <v>46184</v>
      </c>
      <c r="C16" s="23" t="n">
        <v>0.2951388888888889</v>
      </c>
      <c r="D16" s="23" t="n">
        <v>0.6180555555555556</v>
      </c>
      <c r="E16" s="23" t="n">
        <v>0.02083333333333333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22" t="n">
        <v>46185</v>
      </c>
      <c r="C17" s="23" t="n">
        <v>0.3159722222222222</v>
      </c>
      <c r="D17" s="23" t="n">
        <v>0.6284722222222222</v>
      </c>
      <c r="E17" s="23" t="n">
        <v>0.02083333333333333</v>
      </c>
      <c r="F17" s="7">
        <f>(D17-C17-N(E17))*24</f>
        <v/>
      </c>
      <c r="G17" s="6" t="inlineStr"/>
    </row>
    <row r="18">
      <c r="A18" s="19" t="inlineStr">
        <is>
          <t>Sa</t>
        </is>
      </c>
      <c r="B18" s="20" t="n">
        <v>46186</v>
      </c>
      <c r="C18" s="19" t="n"/>
      <c r="D18" s="19" t="n"/>
      <c r="E18" s="19" t="n"/>
      <c r="F18" s="19" t="n"/>
      <c r="G18" s="21" t="inlineStr">
        <is>
          <t>Wochenende</t>
        </is>
      </c>
    </row>
    <row r="19">
      <c r="A19" s="19" t="inlineStr">
        <is>
          <t>So</t>
        </is>
      </c>
      <c r="B19" s="20" t="n">
        <v>46187</v>
      </c>
      <c r="C19" s="19" t="n"/>
      <c r="D19" s="19" t="n"/>
      <c r="E19" s="19" t="n"/>
      <c r="F19" s="19" t="n"/>
      <c r="G19" s="21" t="inlineStr">
        <is>
          <t>Wochenende</t>
        </is>
      </c>
    </row>
    <row r="20">
      <c r="A20" s="24" t="n"/>
      <c r="B20" s="24" t="n"/>
      <c r="C20" s="24" t="n"/>
      <c r="D20" s="24" t="n"/>
      <c r="E20" s="25" t="inlineStr">
        <is>
          <t>Summe KW 24</t>
        </is>
      </c>
      <c r="F20" s="26">
        <f>SUM(F13:F19)</f>
        <v/>
      </c>
      <c r="G20" s="24" t="n"/>
    </row>
    <row r="21">
      <c r="A21" s="5" t="inlineStr">
        <is>
          <t>Mo</t>
        </is>
      </c>
      <c r="B21" s="22" t="n">
        <v>46188</v>
      </c>
      <c r="C21" s="23" t="n">
        <v>0.3020833333333333</v>
      </c>
      <c r="D21" s="23" t="n">
        <v>0.65625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22" t="n">
        <v>46189</v>
      </c>
      <c r="C22" s="23" t="n">
        <v>0.2916666666666667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Mi</t>
        </is>
      </c>
      <c r="B23" s="22" t="n">
        <v>46190</v>
      </c>
      <c r="C23" s="23" t="n">
        <v>0.5138888888888888</v>
      </c>
      <c r="D23" s="23" t="n">
        <v>0.6805555555555556</v>
      </c>
      <c r="E23" s="5" t="n"/>
      <c r="F23" s="7">
        <f>(D23-C23-N(E23))*24</f>
        <v/>
      </c>
      <c r="G23" s="6" t="inlineStr">
        <is>
          <t>Vorlesung PP 10:00–11:30, danach im Betrieb</t>
        </is>
      </c>
    </row>
    <row r="24">
      <c r="A24" s="5" t="inlineStr">
        <is>
          <t>Do</t>
        </is>
      </c>
      <c r="B24" s="22" t="n">
        <v>46191</v>
      </c>
      <c r="C24" s="23" t="n">
        <v>0.3125</v>
      </c>
      <c r="D24" s="23" t="n">
        <v>0.6458333333333334</v>
      </c>
      <c r="E24" s="23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22" t="n">
        <v>46192</v>
      </c>
      <c r="C25" s="23" t="n">
        <v>0.3333333333333333</v>
      </c>
      <c r="D25" s="23" t="n">
        <v>0.6770833333333334</v>
      </c>
      <c r="E25" s="23" t="n">
        <v>0.02083333333333333</v>
      </c>
      <c r="F25" s="7">
        <f>(D25-C25-N(E25))*24</f>
        <v/>
      </c>
      <c r="G25" s="6" t="inlineStr"/>
    </row>
    <row r="26">
      <c r="A26" s="19" t="inlineStr">
        <is>
          <t>Sa</t>
        </is>
      </c>
      <c r="B26" s="20" t="n">
        <v>46193</v>
      </c>
      <c r="C26" s="19" t="n"/>
      <c r="D26" s="19" t="n"/>
      <c r="E26" s="19" t="n"/>
      <c r="F26" s="19" t="n"/>
      <c r="G26" s="21" t="inlineStr">
        <is>
          <t>Wochenende</t>
        </is>
      </c>
    </row>
    <row r="27">
      <c r="A27" s="19" t="inlineStr">
        <is>
          <t>So</t>
        </is>
      </c>
      <c r="B27" s="20" t="n">
        <v>46194</v>
      </c>
      <c r="C27" s="19" t="n"/>
      <c r="D27" s="19" t="n"/>
      <c r="E27" s="19" t="n"/>
      <c r="F27" s="19" t="n"/>
      <c r="G27" s="21" t="inlineStr">
        <is>
          <t>Wochenende</t>
        </is>
      </c>
    </row>
    <row r="28">
      <c r="A28" s="24" t="n"/>
      <c r="B28" s="24" t="n"/>
      <c r="C28" s="24" t="n"/>
      <c r="D28" s="24" t="n"/>
      <c r="E28" s="25" t="inlineStr">
        <is>
          <t>Summe KW 25</t>
        </is>
      </c>
      <c r="F28" s="26">
        <f>SUM(F21:F27)</f>
        <v/>
      </c>
      <c r="G28" s="24" t="n"/>
    </row>
    <row r="29">
      <c r="A29" s="5" t="inlineStr">
        <is>
          <t>Mo</t>
        </is>
      </c>
      <c r="B29" s="22" t="n">
        <v>46195</v>
      </c>
      <c r="C29" s="23" t="n">
        <v>0.2986111111111111</v>
      </c>
      <c r="D29" s="23" t="n">
        <v>0.6215277777777778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22" t="n">
        <v>46196</v>
      </c>
      <c r="C30" s="23" t="n">
        <v>0.2916666666666667</v>
      </c>
      <c r="D30" s="23" t="n">
        <v>0.6145833333333334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Mi</t>
        </is>
      </c>
      <c r="B31" s="22" t="n">
        <v>46197</v>
      </c>
      <c r="C31" s="23" t="n">
        <v>0.5104166666666666</v>
      </c>
      <c r="D31" s="23" t="n">
        <v>0.6770833333333334</v>
      </c>
      <c r="E31" s="5" t="n"/>
      <c r="F31" s="7">
        <f>(D31-C31-N(E31))*24</f>
        <v/>
      </c>
      <c r="G31" s="6" t="inlineStr">
        <is>
          <t>Vorlesung PP 10:00–11:30, danach im Betrieb</t>
        </is>
      </c>
    </row>
    <row r="32">
      <c r="A32" s="5" t="inlineStr">
        <is>
          <t>Do</t>
        </is>
      </c>
      <c r="B32" s="22" t="n">
        <v>46198</v>
      </c>
      <c r="C32" s="23" t="n">
        <v>0.3020833333333333</v>
      </c>
      <c r="D32" s="23" t="n">
        <v>0.6458333333333334</v>
      </c>
      <c r="E32" s="23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22" t="n">
        <v>46199</v>
      </c>
      <c r="C33" s="23" t="n">
        <v>0.3333333333333333</v>
      </c>
      <c r="D33" s="23" t="n">
        <v>0.6875</v>
      </c>
      <c r="E33" s="23" t="n">
        <v>0.02083333333333333</v>
      </c>
      <c r="F33" s="7">
        <f>(D33-C33-N(E33))*24</f>
        <v/>
      </c>
      <c r="G33" s="6" t="inlineStr"/>
    </row>
    <row r="34">
      <c r="A34" s="19" t="inlineStr">
        <is>
          <t>Sa</t>
        </is>
      </c>
      <c r="B34" s="20" t="n">
        <v>46200</v>
      </c>
      <c r="C34" s="19" t="n"/>
      <c r="D34" s="19" t="n"/>
      <c r="E34" s="19" t="n"/>
      <c r="F34" s="19" t="n"/>
      <c r="G34" s="21" t="inlineStr">
        <is>
          <t>Wochenende</t>
        </is>
      </c>
    </row>
    <row r="35">
      <c r="A35" s="19" t="inlineStr">
        <is>
          <t>So</t>
        </is>
      </c>
      <c r="B35" s="20" t="n">
        <v>46201</v>
      </c>
      <c r="C35" s="19" t="n"/>
      <c r="D35" s="19" t="n"/>
      <c r="E35" s="19" t="n"/>
      <c r="F35" s="19" t="n"/>
      <c r="G35" s="21" t="inlineStr">
        <is>
          <t>Wochenende</t>
        </is>
      </c>
    </row>
    <row r="36">
      <c r="A36" s="24" t="n"/>
      <c r="B36" s="24" t="n"/>
      <c r="C36" s="24" t="n"/>
      <c r="D36" s="24" t="n"/>
      <c r="E36" s="25" t="inlineStr">
        <is>
          <t>Summe KW 26</t>
        </is>
      </c>
      <c r="F36" s="26">
        <f>SUM(F29:F35)</f>
        <v/>
      </c>
      <c r="G36" s="24" t="n"/>
    </row>
    <row r="37">
      <c r="A37" s="5" t="inlineStr">
        <is>
          <t>Mo</t>
        </is>
      </c>
      <c r="B37" s="22" t="n">
        <v>46202</v>
      </c>
      <c r="C37" s="23" t="n">
        <v>0.3055555555555556</v>
      </c>
      <c r="D37" s="23" t="n">
        <v>0.6180555555555556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22" t="n">
        <v>46203</v>
      </c>
      <c r="C38" s="23" t="n">
        <v>0.2986111111111111</v>
      </c>
      <c r="D38" s="23" t="n">
        <v>0.6319444444444444</v>
      </c>
      <c r="E38" s="23" t="n">
        <v>0.02083333333333333</v>
      </c>
      <c r="F38" s="7">
        <f>(D38-C38-N(E38))*24</f>
        <v/>
      </c>
      <c r="G38" s="6" t="inlineStr"/>
    </row>
    <row r="39">
      <c r="A39" s="24" t="n"/>
      <c r="B39" s="24" t="n"/>
      <c r="C39" s="24" t="n"/>
      <c r="D39" s="24" t="n"/>
      <c r="E39" s="25" t="inlineStr">
        <is>
          <t>Summe KW 27</t>
        </is>
      </c>
      <c r="F39" s="26">
        <f>SUM(F37:F38)</f>
        <v/>
      </c>
      <c r="G39" s="30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31" t="inlineStr">
        <is>
          <t>Stunden netto im Monat</t>
        </is>
      </c>
    </row>
    <row r="42">
      <c r="A42" s="32" t="n"/>
      <c r="B42" s="32" t="n"/>
      <c r="C42" s="32" t="n"/>
      <c r="E42" s="32" t="n"/>
      <c r="F42" s="32" t="n"/>
      <c r="G42" s="32" t="n"/>
      <c r="H42" s="32" t="n"/>
    </row>
    <row r="43">
      <c r="A43" s="33" t="inlineStr">
        <is>
          <t>Datum, Unterschrift Praktikant</t>
        </is>
      </c>
      <c r="E43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22" t="n">
        <v>46204</v>
      </c>
      <c r="C5" s="23" t="n">
        <v>0.3333333333333333</v>
      </c>
      <c r="D5" s="23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22" t="n">
        <v>46205</v>
      </c>
      <c r="C6" s="23" t="n">
        <v>0.3125</v>
      </c>
      <c r="D6" s="23" t="n">
        <v>0.6458333333333334</v>
      </c>
      <c r="E6" s="23" t="n">
        <v>0.02083333333333333</v>
      </c>
      <c r="F6" s="7">
        <f>(D6-C6-N(E6))*24</f>
        <v/>
      </c>
      <c r="G6" s="6" t="inlineStr"/>
    </row>
    <row r="7">
      <c r="A7" s="27" t="inlineStr">
        <is>
          <t>Fr</t>
        </is>
      </c>
      <c r="B7" s="28" t="n">
        <v>46206</v>
      </c>
      <c r="C7" s="27" t="n"/>
      <c r="D7" s="27" t="n"/>
      <c r="E7" s="27" t="n"/>
      <c r="F7" s="27" t="n"/>
      <c r="G7" s="29" t="inlineStr">
        <is>
          <t>Krank</t>
        </is>
      </c>
    </row>
    <row r="8">
      <c r="A8" s="19" t="inlineStr">
        <is>
          <t>Sa</t>
        </is>
      </c>
      <c r="B8" s="20" t="n">
        <v>46207</v>
      </c>
      <c r="C8" s="19" t="n"/>
      <c r="D8" s="19" t="n"/>
      <c r="E8" s="19" t="n"/>
      <c r="F8" s="19" t="n"/>
      <c r="G8" s="21" t="inlineStr">
        <is>
          <t>Wochenende</t>
        </is>
      </c>
    </row>
    <row r="9">
      <c r="A9" s="19" t="inlineStr">
        <is>
          <t>So</t>
        </is>
      </c>
      <c r="B9" s="20" t="n">
        <v>46208</v>
      </c>
      <c r="C9" s="19" t="n"/>
      <c r="D9" s="19" t="n"/>
      <c r="E9" s="19" t="n"/>
      <c r="F9" s="19" t="n"/>
      <c r="G9" s="21" t="inlineStr">
        <is>
          <t>Wochenende</t>
        </is>
      </c>
    </row>
    <row r="10">
      <c r="A10" s="24" t="n"/>
      <c r="B10" s="24" t="n"/>
      <c r="C10" s="24" t="n"/>
      <c r="D10" s="24" t="n"/>
      <c r="E10" s="25" t="inlineStr">
        <is>
          <t>Summe KW 27</t>
        </is>
      </c>
      <c r="F10" s="26">
        <f>SUM(F5:F9)</f>
        <v/>
      </c>
      <c r="G10" s="30" t="inlineStr">
        <is>
          <t>anteilig – Woche reicht in den Nachbarmonat</t>
        </is>
      </c>
    </row>
    <row r="11">
      <c r="A11" s="5" t="inlineStr">
        <is>
          <t>Mo</t>
        </is>
      </c>
      <c r="B11" s="22" t="n">
        <v>46209</v>
      </c>
      <c r="C11" s="23" t="n">
        <v>0.2951388888888889</v>
      </c>
      <c r="D11" s="23" t="n">
        <v>0.5868055555555556</v>
      </c>
      <c r="E11" s="23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22" t="n">
        <v>46210</v>
      </c>
      <c r="C12" s="23" t="n">
        <v>0.3090277777777778</v>
      </c>
      <c r="D12" s="23" t="n">
        <v>0.6111111111111112</v>
      </c>
      <c r="E12" s="23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22" t="n">
        <v>46211</v>
      </c>
      <c r="C13" s="23" t="n">
        <v>0.3333333333333333</v>
      </c>
      <c r="D13" s="23" t="n">
        <v>0.65625</v>
      </c>
      <c r="E13" s="23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22" t="n">
        <v>46212</v>
      </c>
      <c r="C14" s="23" t="n">
        <v>0.4583333333333333</v>
      </c>
      <c r="D14" s="23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22" t="n">
        <v>46213</v>
      </c>
      <c r="C15" s="23" t="n">
        <v>0.3020833333333333</v>
      </c>
      <c r="D15" s="23" t="n">
        <v>0.625</v>
      </c>
      <c r="E15" s="23" t="n">
        <v>0.02083333333333333</v>
      </c>
      <c r="F15" s="7">
        <f>(D15-C15-N(E15))*24</f>
        <v/>
      </c>
      <c r="G15" s="6" t="inlineStr"/>
    </row>
    <row r="16">
      <c r="A16" s="19" t="inlineStr">
        <is>
          <t>Sa</t>
        </is>
      </c>
      <c r="B16" s="20" t="n">
        <v>46214</v>
      </c>
      <c r="C16" s="19" t="n"/>
      <c r="D16" s="19" t="n"/>
      <c r="E16" s="19" t="n"/>
      <c r="F16" s="19" t="n"/>
      <c r="G16" s="21" t="inlineStr">
        <is>
          <t>Wochenende</t>
        </is>
      </c>
    </row>
    <row r="17">
      <c r="A17" s="19" t="inlineStr">
        <is>
          <t>So</t>
        </is>
      </c>
      <c r="B17" s="20" t="n">
        <v>46215</v>
      </c>
      <c r="C17" s="19" t="n"/>
      <c r="D17" s="19" t="n"/>
      <c r="E17" s="19" t="n"/>
      <c r="F17" s="19" t="n"/>
      <c r="G17" s="21" t="inlineStr">
        <is>
          <t>Wochenende</t>
        </is>
      </c>
    </row>
    <row r="18">
      <c r="A18" s="24" t="n"/>
      <c r="B18" s="24" t="n"/>
      <c r="C18" s="24" t="n"/>
      <c r="D18" s="24" t="n"/>
      <c r="E18" s="25" t="inlineStr">
        <is>
          <t>Summe KW 28</t>
        </is>
      </c>
      <c r="F18" s="26">
        <f>SUM(F11:F17)</f>
        <v/>
      </c>
      <c r="G18" s="24" t="n"/>
    </row>
    <row r="19">
      <c r="A19" s="5" t="inlineStr">
        <is>
          <t>Mo</t>
        </is>
      </c>
      <c r="B19" s="22" t="n">
        <v>46216</v>
      </c>
      <c r="C19" s="23" t="n">
        <v>0.2986111111111111</v>
      </c>
      <c r="D19" s="23" t="n">
        <v>0.6006944444444444</v>
      </c>
      <c r="E19" s="23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22" t="n">
        <v>46217</v>
      </c>
      <c r="C20" s="23" t="n">
        <v>0.3055555555555556</v>
      </c>
      <c r="D20" s="23" t="n">
        <v>0.5972222222222222</v>
      </c>
      <c r="E20" s="23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22" t="n">
        <v>46218</v>
      </c>
      <c r="C21" s="23" t="n">
        <v>0.2951388888888889</v>
      </c>
      <c r="D21" s="23" t="n">
        <v>0.6284722222222222</v>
      </c>
      <c r="E21" s="23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22" t="n">
        <v>46219</v>
      </c>
      <c r="C22" s="23" t="n">
        <v>0.3125</v>
      </c>
      <c r="D22" s="23" t="n">
        <v>0.625</v>
      </c>
      <c r="E22" s="23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22" t="n">
        <v>46220</v>
      </c>
      <c r="C23" s="23" t="n">
        <v>0.4618055555555556</v>
      </c>
      <c r="D23" s="23" t="n">
        <v>0.6284722222222222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9" t="inlineStr">
        <is>
          <t>Sa</t>
        </is>
      </c>
      <c r="B24" s="20" t="n">
        <v>46221</v>
      </c>
      <c r="C24" s="19" t="n"/>
      <c r="D24" s="19" t="n"/>
      <c r="E24" s="19" t="n"/>
      <c r="F24" s="19" t="n"/>
      <c r="G24" s="21" t="inlineStr">
        <is>
          <t>Wochenende</t>
        </is>
      </c>
    </row>
    <row r="25">
      <c r="A25" s="19" t="inlineStr">
        <is>
          <t>So</t>
        </is>
      </c>
      <c r="B25" s="20" t="n">
        <v>46222</v>
      </c>
      <c r="C25" s="19" t="n"/>
      <c r="D25" s="19" t="n"/>
      <c r="E25" s="19" t="n"/>
      <c r="F25" s="19" t="n"/>
      <c r="G25" s="21" t="inlineStr">
        <is>
          <t>Wochenende</t>
        </is>
      </c>
    </row>
    <row r="26">
      <c r="A26" s="24" t="n"/>
      <c r="B26" s="24" t="n"/>
      <c r="C26" s="24" t="n"/>
      <c r="D26" s="24" t="n"/>
      <c r="E26" s="25" t="inlineStr">
        <is>
          <t>Summe KW 29</t>
        </is>
      </c>
      <c r="F26" s="26">
        <f>SUM(F19:F25)</f>
        <v/>
      </c>
      <c r="G26" s="24" t="n"/>
    </row>
    <row r="27">
      <c r="A27" s="5" t="inlineStr">
        <is>
          <t>Mo</t>
        </is>
      </c>
      <c r="B27" s="22" t="n">
        <v>46223</v>
      </c>
      <c r="C27" s="23" t="n">
        <v>0.4583333333333333</v>
      </c>
      <c r="D27" s="23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22" t="n">
        <v>46224</v>
      </c>
      <c r="C28" s="23" t="n">
        <v>0.3020833333333333</v>
      </c>
      <c r="D28" s="23" t="n">
        <v>0.6145833333333334</v>
      </c>
      <c r="E28" s="23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22" t="n">
        <v>46225</v>
      </c>
      <c r="C29" s="23" t="n">
        <v>0.3333333333333333</v>
      </c>
      <c r="D29" s="23" t="n">
        <v>0.65625</v>
      </c>
      <c r="E29" s="23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22" t="n">
        <v>46226</v>
      </c>
      <c r="C30" s="23" t="n">
        <v>0.2951388888888889</v>
      </c>
      <c r="D30" s="23" t="n">
        <v>0.5972222222222222</v>
      </c>
      <c r="E30" s="23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22" t="n">
        <v>46227</v>
      </c>
      <c r="C31" s="23" t="n">
        <v>0.3090277777777778</v>
      </c>
      <c r="D31" s="23" t="n">
        <v>0.6111111111111112</v>
      </c>
      <c r="E31" s="23" t="n">
        <v>0.02083333333333333</v>
      </c>
      <c r="F31" s="7">
        <f>(D31-C31-N(E31))*24</f>
        <v/>
      </c>
      <c r="G31" s="6" t="inlineStr"/>
    </row>
    <row r="32">
      <c r="A32" s="19" t="inlineStr">
        <is>
          <t>Sa</t>
        </is>
      </c>
      <c r="B32" s="20" t="n">
        <v>46228</v>
      </c>
      <c r="C32" s="19" t="n"/>
      <c r="D32" s="19" t="n"/>
      <c r="E32" s="19" t="n"/>
      <c r="F32" s="19" t="n"/>
      <c r="G32" s="21" t="inlineStr">
        <is>
          <t>Wochenende</t>
        </is>
      </c>
    </row>
    <row r="33">
      <c r="A33" s="19" t="inlineStr">
        <is>
          <t>So</t>
        </is>
      </c>
      <c r="B33" s="20" t="n">
        <v>46229</v>
      </c>
      <c r="C33" s="19" t="n"/>
      <c r="D33" s="19" t="n"/>
      <c r="E33" s="19" t="n"/>
      <c r="F33" s="19" t="n"/>
      <c r="G33" s="21" t="inlineStr">
        <is>
          <t>Wochenende</t>
        </is>
      </c>
    </row>
    <row r="34">
      <c r="A34" s="24" t="n"/>
      <c r="B34" s="24" t="n"/>
      <c r="C34" s="24" t="n"/>
      <c r="D34" s="24" t="n"/>
      <c r="E34" s="25" t="inlineStr">
        <is>
          <t>Summe KW 30</t>
        </is>
      </c>
      <c r="F34" s="26">
        <f>SUM(F27:F33)</f>
        <v/>
      </c>
      <c r="G34" s="24" t="n"/>
    </row>
    <row r="35">
      <c r="A35" s="5" t="inlineStr">
        <is>
          <t>Mo</t>
        </is>
      </c>
      <c r="B35" s="22" t="n">
        <v>46230</v>
      </c>
      <c r="C35" s="23" t="n">
        <v>0.2916666666666667</v>
      </c>
      <c r="D35" s="23" t="n">
        <v>0.6145833333333334</v>
      </c>
      <c r="E35" s="23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22" t="n">
        <v>46231</v>
      </c>
      <c r="C36" s="23" t="n">
        <v>0.4652777777777778</v>
      </c>
      <c r="D36" s="23" t="n">
        <v>0.6319444444444444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22" t="n">
        <v>46232</v>
      </c>
      <c r="C37" s="23" t="n">
        <v>0.3229166666666667</v>
      </c>
      <c r="D37" s="23" t="n">
        <v>0.65625</v>
      </c>
      <c r="E37" s="23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22" t="n">
        <v>46233</v>
      </c>
      <c r="C38" s="23" t="n">
        <v>0.2986111111111111</v>
      </c>
      <c r="D38" s="23" t="n">
        <v>0.5902777777777778</v>
      </c>
      <c r="E38" s="23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22" t="n">
        <v>46234</v>
      </c>
      <c r="C39" s="23" t="n">
        <v>0.3333333333333333</v>
      </c>
      <c r="D39" s="23" t="n">
        <v>0.6458333333333334</v>
      </c>
      <c r="E39" s="23" t="n">
        <v>0.02083333333333333</v>
      </c>
      <c r="F39" s="7">
        <f>(D39-C39-N(E39))*24</f>
        <v/>
      </c>
      <c r="G39" s="6" t="inlineStr"/>
    </row>
    <row r="40">
      <c r="A40" s="24" t="n"/>
      <c r="B40" s="24" t="n"/>
      <c r="C40" s="24" t="n"/>
      <c r="D40" s="24" t="n"/>
      <c r="E40" s="25" t="inlineStr">
        <is>
          <t>Summe KW 31</t>
        </is>
      </c>
      <c r="F40" s="26">
        <f>SUM(F35:F39)</f>
        <v/>
      </c>
      <c r="G40" s="24" t="n"/>
    </row>
    <row r="41">
      <c r="E41" s="9" t="inlineStr">
        <is>
          <t>Summe</t>
        </is>
      </c>
      <c r="F41" s="11">
        <f>F10+F18+F26+F34+F40</f>
        <v/>
      </c>
      <c r="G41" s="31" t="inlineStr">
        <is>
          <t>Stunden netto im Monat</t>
        </is>
      </c>
    </row>
    <row r="43">
      <c r="A43" s="32" t="n"/>
      <c r="B43" s="32" t="n"/>
      <c r="C43" s="32" t="n"/>
      <c r="E43" s="32" t="n"/>
      <c r="F43" s="32" t="n"/>
      <c r="G43" s="32" t="n"/>
      <c r="H43" s="32" t="n"/>
    </row>
    <row r="44">
      <c r="A44" s="33" t="inlineStr">
        <is>
          <t>Datum, Unterschrift Praktikant</t>
        </is>
      </c>
      <c r="E44" s="33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2026-08-31T15:14:10Z</dcterms:created>
  <dcterms:modified xmlns:dcterms="http://purl.org/dc/terms/" xmlns:xsi="http://www.w3.org/2001/XMLSchema-instance" xsi:type="dcterms:W3CDTF">2026-08-31T15:14:10Z</dcterms:modified>
  <cp:lastModifiedBy>Houcine Hassine</cp:lastModifiedBy>
</cp:coreProperties>
</file>